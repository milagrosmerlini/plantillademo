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ra\Downloads\Cubanitos\"/>
    </mc:Choice>
  </mc:AlternateContent>
  <xr:revisionPtr revIDLastSave="0" documentId="8_{DB2540F5-5E70-40D8-AC6D-3BD830395115}" xr6:coauthVersionLast="47" xr6:coauthVersionMax="47" xr10:uidLastSave="{00000000-0000-0000-0000-000000000000}"/>
  <bookViews>
    <workbookView xWindow="-120" yWindow="-120" windowWidth="20730" windowHeight="11040" firstSheet="15" activeTab="19" xr2:uid="{00000000-000D-0000-FFFF-FFFF00000000}"/>
  </bookViews>
  <sheets>
    <sheet name="PRECIOS" sheetId="1" r:id="rId1"/>
    <sheet name="VENTAS JULIO" sheetId="2" r:id="rId2"/>
    <sheet name="GASTOS JULIO" sheetId="3" r:id="rId3"/>
    <sheet name="GASTOS AGOSTO" sheetId="6" r:id="rId4"/>
    <sheet name="VENTAS AGOSTO" sheetId="5" r:id="rId5"/>
    <sheet name="GASTOS SEPTIEMBRE" sheetId="7" r:id="rId6"/>
    <sheet name="VENTAS SEPTIEMBRE" sheetId="10" r:id="rId7"/>
    <sheet name="GASTOS OCTUBRE" sheetId="13" r:id="rId8"/>
    <sheet name="VENTAS OCTUBRE" sheetId="12" r:id="rId9"/>
    <sheet name="GASTOS NOVIEMBRE" sheetId="14" r:id="rId10"/>
    <sheet name="VENTAS NOVIEMBRE" sheetId="15" r:id="rId11"/>
    <sheet name="GASTOS DICIEMBRE" sheetId="17" r:id="rId12"/>
    <sheet name="VENTAS DICIEMBRE" sheetId="18" r:id="rId13"/>
    <sheet name="GASTOS ENERO" sheetId="20" r:id="rId14"/>
    <sheet name="VENTAS ENERO" sheetId="19" r:id="rId15"/>
    <sheet name="GASTOS FEBRERO" sheetId="21" r:id="rId16"/>
    <sheet name="VENTAS FEBRERO" sheetId="22" r:id="rId17"/>
    <sheet name="GASTOS MARZO" sheetId="24" r:id="rId18"/>
    <sheet name="VENTAS MARZO" sheetId="23" r:id="rId19"/>
    <sheet name="CAJA REAL" sheetId="4" r:id="rId20"/>
  </sheets>
  <definedNames>
    <definedName name="_xlnm._FilterDatabase" localSheetId="2" hidden="1">'GASTOS JULIO'!$A$5:$G$35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7" i="4" l="1"/>
  <c r="G5" i="24"/>
  <c r="K5" i="24" s="1"/>
  <c r="G237" i="4"/>
  <c r="F237" i="4"/>
  <c r="C237" i="4"/>
  <c r="B237" i="4"/>
  <c r="H237" i="4" s="1"/>
  <c r="A237" i="4"/>
  <c r="G236" i="4"/>
  <c r="F236" i="4"/>
  <c r="E236" i="4"/>
  <c r="C236" i="4"/>
  <c r="H236" i="4" s="1"/>
  <c r="B236" i="4"/>
  <c r="A236" i="4"/>
  <c r="E6" i="23"/>
  <c r="C6" i="23"/>
  <c r="B6" i="23"/>
  <c r="G26" i="21"/>
  <c r="F235" i="4"/>
  <c r="L4" i="24"/>
  <c r="H4" i="23" l="1"/>
  <c r="C235" i="4"/>
  <c r="H235" i="4" s="1"/>
  <c r="B235" i="4"/>
  <c r="A235" i="4"/>
  <c r="G235" i="4"/>
  <c r="E235" i="4"/>
  <c r="E4" i="23"/>
  <c r="G4" i="23"/>
  <c r="F4" i="23"/>
  <c r="C4" i="23"/>
  <c r="B4" i="23"/>
  <c r="J11" i="23" s="1"/>
  <c r="I282" i="24"/>
  <c r="H282" i="24"/>
  <c r="G250" i="24"/>
  <c r="M250" i="24" s="1"/>
  <c r="G249" i="24"/>
  <c r="K249" i="24" s="1"/>
  <c r="G248" i="24"/>
  <c r="G247" i="24"/>
  <c r="K246" i="24"/>
  <c r="G246" i="24"/>
  <c r="L244" i="24"/>
  <c r="G243" i="24"/>
  <c r="M243" i="24" s="1"/>
  <c r="G242" i="24"/>
  <c r="K242" i="24" s="1"/>
  <c r="G240" i="24"/>
  <c r="L241" i="24" s="1"/>
  <c r="G239" i="24"/>
  <c r="K239" i="24" s="1"/>
  <c r="L238" i="24"/>
  <c r="K236" i="24"/>
  <c r="G235" i="24"/>
  <c r="K235" i="24" s="1"/>
  <c r="L234" i="24"/>
  <c r="K233" i="24"/>
  <c r="L232" i="24"/>
  <c r="G231" i="24"/>
  <c r="L231" i="24" s="1"/>
  <c r="K230" i="24"/>
  <c r="K227" i="24"/>
  <c r="L226" i="24"/>
  <c r="L225" i="24"/>
  <c r="G224" i="24"/>
  <c r="K224" i="24" s="1"/>
  <c r="K223" i="24"/>
  <c r="L151" i="24"/>
  <c r="G151" i="24"/>
  <c r="K150" i="24"/>
  <c r="G147" i="24"/>
  <c r="M153" i="24" s="1"/>
  <c r="L146" i="24"/>
  <c r="G145" i="24"/>
  <c r="M145" i="24" s="1"/>
  <c r="G142" i="24"/>
  <c r="M142" i="24" s="1"/>
  <c r="L141" i="24"/>
  <c r="L140" i="24"/>
  <c r="G139" i="24"/>
  <c r="K139" i="24" s="1"/>
  <c r="G138" i="24"/>
  <c r="K138" i="24" s="1"/>
  <c r="G137" i="24"/>
  <c r="M137" i="24" s="1"/>
  <c r="K84" i="24"/>
  <c r="M83" i="24"/>
  <c r="M82" i="24"/>
  <c r="G81" i="24"/>
  <c r="M81" i="24" s="1"/>
  <c r="G79" i="24"/>
  <c r="K80" i="24" s="1"/>
  <c r="K78" i="24"/>
  <c r="G77" i="24"/>
  <c r="K77" i="24" s="1"/>
  <c r="L76" i="24"/>
  <c r="G75" i="24"/>
  <c r="M75" i="24" s="1"/>
  <c r="G74" i="24"/>
  <c r="K74" i="24" s="1"/>
  <c r="G72" i="24"/>
  <c r="K73" i="24" s="1"/>
  <c r="L71" i="24"/>
  <c r="K70" i="24"/>
  <c r="G69" i="24"/>
  <c r="M69" i="24" s="1"/>
  <c r="K68" i="24"/>
  <c r="G67" i="24"/>
  <c r="M67" i="24" s="1"/>
  <c r="G66" i="24"/>
  <c r="K66" i="24" s="1"/>
  <c r="K65" i="24"/>
  <c r="L64" i="24"/>
  <c r="G63" i="24"/>
  <c r="K63" i="24" s="1"/>
  <c r="H34" i="23"/>
  <c r="H33" i="23"/>
  <c r="H32" i="23"/>
  <c r="K5" i="23"/>
  <c r="K4" i="23"/>
  <c r="K6" i="23"/>
  <c r="K11" i="23"/>
  <c r="G234" i="4"/>
  <c r="F234" i="4"/>
  <c r="E234" i="4"/>
  <c r="C234" i="4"/>
  <c r="B234" i="4"/>
  <c r="A234" i="4"/>
  <c r="G31" i="22"/>
  <c r="F31" i="22"/>
  <c r="E31" i="22"/>
  <c r="C31" i="22"/>
  <c r="B31" i="22"/>
  <c r="G233" i="4"/>
  <c r="E233" i="4"/>
  <c r="F233" i="4"/>
  <c r="C233" i="4"/>
  <c r="B233" i="4"/>
  <c r="A233" i="4"/>
  <c r="M28" i="21"/>
  <c r="G27" i="21"/>
  <c r="G25" i="21"/>
  <c r="K27" i="21"/>
  <c r="H25" i="21"/>
  <c r="J25" i="21" s="1"/>
  <c r="G30" i="22"/>
  <c r="F30" i="22"/>
  <c r="E30" i="22"/>
  <c r="C30" i="22"/>
  <c r="B30" i="22"/>
  <c r="G24" i="21"/>
  <c r="M24" i="21" s="1"/>
  <c r="G232" i="4" s="1"/>
  <c r="F232" i="4"/>
  <c r="E232" i="4"/>
  <c r="C232" i="4"/>
  <c r="B232" i="4"/>
  <c r="A232" i="4"/>
  <c r="F29" i="22"/>
  <c r="E29" i="22"/>
  <c r="C29" i="22"/>
  <c r="B29" i="22"/>
  <c r="F231" i="4"/>
  <c r="E231" i="4"/>
  <c r="C231" i="4"/>
  <c r="B231" i="4"/>
  <c r="A231" i="4"/>
  <c r="C28" i="22"/>
  <c r="B28" i="22"/>
  <c r="F230" i="4"/>
  <c r="E230" i="4"/>
  <c r="C230" i="4"/>
  <c r="B230" i="4"/>
  <c r="A230" i="4"/>
  <c r="G27" i="22"/>
  <c r="E27" i="22"/>
  <c r="C27" i="22"/>
  <c r="B27" i="22"/>
  <c r="C229" i="4"/>
  <c r="B229" i="4"/>
  <c r="A229" i="4"/>
  <c r="L23" i="21"/>
  <c r="F229" i="4" s="1"/>
  <c r="G22" i="21"/>
  <c r="K22" i="21" s="1"/>
  <c r="E229" i="4" s="1"/>
  <c r="F26" i="22"/>
  <c r="E26" i="22"/>
  <c r="D26" i="22"/>
  <c r="C26" i="22"/>
  <c r="B26" i="22"/>
  <c r="F25" i="22"/>
  <c r="C228" i="4" s="1"/>
  <c r="E25" i="22"/>
  <c r="E228" i="4"/>
  <c r="B228" i="4"/>
  <c r="A228" i="4"/>
  <c r="G25" i="22"/>
  <c r="C25" i="22"/>
  <c r="B25" i="22"/>
  <c r="H21" i="21"/>
  <c r="J21" i="21" s="1"/>
  <c r="G21" i="21"/>
  <c r="I21" i="21" s="1"/>
  <c r="G227" i="4"/>
  <c r="C227" i="4"/>
  <c r="B227" i="4"/>
  <c r="A227" i="4"/>
  <c r="G24" i="22"/>
  <c r="F24" i="22"/>
  <c r="E24" i="22"/>
  <c r="C24" i="22"/>
  <c r="B24" i="22"/>
  <c r="C226" i="4"/>
  <c r="B226" i="4"/>
  <c r="A226" i="4"/>
  <c r="M20" i="21"/>
  <c r="G226" i="4" s="1"/>
  <c r="K19" i="21"/>
  <c r="E226" i="4" s="1"/>
  <c r="E23" i="22"/>
  <c r="C23" i="22"/>
  <c r="B23" i="22"/>
  <c r="G18" i="21"/>
  <c r="M18" i="21" s="1"/>
  <c r="G225" i="4" s="1"/>
  <c r="E225" i="4"/>
  <c r="C225" i="4"/>
  <c r="B225" i="4"/>
  <c r="A225" i="4"/>
  <c r="E22" i="22"/>
  <c r="B22" i="22"/>
  <c r="K17" i="21"/>
  <c r="E224" i="4" s="1"/>
  <c r="G224" i="4"/>
  <c r="C224" i="4"/>
  <c r="B224" i="4"/>
  <c r="A224" i="4"/>
  <c r="F21" i="22"/>
  <c r="E21" i="22"/>
  <c r="C21" i="22"/>
  <c r="B21" i="22"/>
  <c r="K248" i="24" l="1"/>
  <c r="H234" i="4"/>
  <c r="G86" i="24"/>
  <c r="M147" i="24"/>
  <c r="K7" i="23"/>
  <c r="H233" i="4"/>
  <c r="H232" i="4"/>
  <c r="I25" i="21"/>
  <c r="K21" i="21"/>
  <c r="E227" i="4" s="1"/>
  <c r="H231" i="4"/>
  <c r="H229" i="4"/>
  <c r="H230" i="4"/>
  <c r="H227" i="4"/>
  <c r="H228" i="4"/>
  <c r="H226" i="4"/>
  <c r="H225" i="4"/>
  <c r="H224" i="4"/>
  <c r="G16" i="21"/>
  <c r="H15" i="21"/>
  <c r="J15" i="21" s="1"/>
  <c r="G15" i="21"/>
  <c r="L16" i="21" s="1"/>
  <c r="L14" i="21"/>
  <c r="L13" i="21"/>
  <c r="G223" i="4"/>
  <c r="E223" i="4"/>
  <c r="C223" i="4"/>
  <c r="B223" i="4"/>
  <c r="A223" i="4"/>
  <c r="F20" i="22"/>
  <c r="E20" i="22"/>
  <c r="C20" i="22"/>
  <c r="B20" i="22"/>
  <c r="G222" i="4"/>
  <c r="E222" i="4"/>
  <c r="C222" i="4"/>
  <c r="B222" i="4"/>
  <c r="A222" i="4"/>
  <c r="F19" i="22"/>
  <c r="G19" i="22"/>
  <c r="E19" i="22"/>
  <c r="C19" i="22"/>
  <c r="B19" i="22"/>
  <c r="G221" i="4"/>
  <c r="E221" i="4"/>
  <c r="C221" i="4"/>
  <c r="B221" i="4"/>
  <c r="A221" i="4"/>
  <c r="G18" i="22"/>
  <c r="F18" i="22"/>
  <c r="E18" i="22"/>
  <c r="D18" i="22"/>
  <c r="C18" i="22"/>
  <c r="B18" i="22"/>
  <c r="G220" i="4"/>
  <c r="E220" i="4"/>
  <c r="C220" i="4"/>
  <c r="B220" i="4"/>
  <c r="A220" i="4"/>
  <c r="E17" i="22"/>
  <c r="F17" i="22"/>
  <c r="G17" i="22"/>
  <c r="C17" i="22"/>
  <c r="B17" i="22"/>
  <c r="G214" i="4"/>
  <c r="L12" i="21"/>
  <c r="G11" i="21"/>
  <c r="L11" i="21" s="1"/>
  <c r="F219" i="4" s="1"/>
  <c r="G219" i="4"/>
  <c r="E219" i="4"/>
  <c r="C219" i="4"/>
  <c r="B219" i="4"/>
  <c r="A219" i="4"/>
  <c r="G16" i="22"/>
  <c r="F16" i="22"/>
  <c r="E16" i="22"/>
  <c r="D16" i="22"/>
  <c r="C16" i="22"/>
  <c r="B16" i="22"/>
  <c r="G10" i="21"/>
  <c r="M10" i="21" s="1"/>
  <c r="G218" i="4" s="1"/>
  <c r="E218" i="4"/>
  <c r="C218" i="4"/>
  <c r="B218" i="4"/>
  <c r="A218" i="4"/>
  <c r="G9" i="21"/>
  <c r="G7" i="21"/>
  <c r="H7" i="21"/>
  <c r="J7" i="21" s="1"/>
  <c r="I7" i="21"/>
  <c r="L9" i="21"/>
  <c r="F218" i="4" s="1"/>
  <c r="G15" i="22"/>
  <c r="F15" i="22"/>
  <c r="E15" i="22"/>
  <c r="C15" i="22"/>
  <c r="B15" i="22"/>
  <c r="G217" i="4"/>
  <c r="F217" i="4"/>
  <c r="E217" i="4"/>
  <c r="C217" i="4"/>
  <c r="B217" i="4"/>
  <c r="A217" i="4"/>
  <c r="E14" i="22"/>
  <c r="F14" i="22"/>
  <c r="D14" i="22"/>
  <c r="C14" i="22"/>
  <c r="B14" i="22"/>
  <c r="G216" i="4"/>
  <c r="F216" i="4"/>
  <c r="E216" i="4"/>
  <c r="C216" i="4"/>
  <c r="B216" i="4"/>
  <c r="A216" i="4"/>
  <c r="E13" i="22"/>
  <c r="C13" i="22"/>
  <c r="B13" i="22"/>
  <c r="G215" i="4"/>
  <c r="F215" i="4"/>
  <c r="E215" i="4"/>
  <c r="C215" i="4"/>
  <c r="B215" i="4"/>
  <c r="A215" i="4"/>
  <c r="G12" i="22"/>
  <c r="B12" i="22"/>
  <c r="E12" i="22"/>
  <c r="C12" i="22"/>
  <c r="F212" i="4"/>
  <c r="G8" i="21"/>
  <c r="E214" i="4"/>
  <c r="C214" i="4"/>
  <c r="B214" i="4"/>
  <c r="A214" i="4"/>
  <c r="G11" i="22"/>
  <c r="F11" i="22"/>
  <c r="E11" i="22"/>
  <c r="D11" i="22"/>
  <c r="C11" i="22"/>
  <c r="B11" i="22"/>
  <c r="M6" i="21"/>
  <c r="G213" i="4" s="1"/>
  <c r="F213" i="4"/>
  <c r="E213" i="4"/>
  <c r="C213" i="4"/>
  <c r="B213" i="4"/>
  <c r="A213" i="4"/>
  <c r="F10" i="22"/>
  <c r="G10" i="22"/>
  <c r="E10" i="22"/>
  <c r="C10" i="22"/>
  <c r="B10" i="22"/>
  <c r="G5" i="21"/>
  <c r="M5" i="21" s="1"/>
  <c r="G212" i="4" s="1"/>
  <c r="G4" i="21"/>
  <c r="G30" i="21" s="1"/>
  <c r="C212" i="4"/>
  <c r="B212" i="4"/>
  <c r="A212" i="4"/>
  <c r="C9" i="22"/>
  <c r="F211" i="4"/>
  <c r="E211" i="4"/>
  <c r="C211" i="4"/>
  <c r="B211" i="4"/>
  <c r="A211" i="4"/>
  <c r="F8" i="22"/>
  <c r="E8" i="22"/>
  <c r="C8" i="22"/>
  <c r="B8" i="22"/>
  <c r="F210" i="4"/>
  <c r="E210" i="4"/>
  <c r="C210" i="4"/>
  <c r="B210" i="4"/>
  <c r="A210" i="4"/>
  <c r="G7" i="22"/>
  <c r="F7" i="22"/>
  <c r="C7" i="22"/>
  <c r="B7" i="22"/>
  <c r="F206" i="4"/>
  <c r="E206" i="4"/>
  <c r="G27" i="20"/>
  <c r="M26" i="20"/>
  <c r="M19" i="20"/>
  <c r="F209" i="4"/>
  <c r="E209" i="4"/>
  <c r="C209" i="4"/>
  <c r="B209" i="4"/>
  <c r="A209" i="4"/>
  <c r="F208" i="4"/>
  <c r="E208" i="4"/>
  <c r="C208" i="4"/>
  <c r="B208" i="4"/>
  <c r="A208" i="4"/>
  <c r="E6" i="22"/>
  <c r="C6" i="22"/>
  <c r="B6" i="22"/>
  <c r="C207" i="4"/>
  <c r="B207" i="4"/>
  <c r="A207" i="4"/>
  <c r="F207" i="4"/>
  <c r="E207" i="4"/>
  <c r="G4" i="22"/>
  <c r="F4" i="22"/>
  <c r="C4" i="22"/>
  <c r="B4" i="22"/>
  <c r="E212" i="4" l="1"/>
  <c r="H222" i="4"/>
  <c r="F223" i="4"/>
  <c r="L8" i="21"/>
  <c r="F214" i="4" s="1"/>
  <c r="H214" i="4" s="1"/>
  <c r="H223" i="4"/>
  <c r="I15" i="21"/>
  <c r="H216" i="4"/>
  <c r="H217" i="4"/>
  <c r="H220" i="4"/>
  <c r="H221" i="4"/>
  <c r="H219" i="4"/>
  <c r="H215" i="4"/>
  <c r="H218" i="4"/>
  <c r="H211" i="4"/>
  <c r="H213" i="4"/>
  <c r="H210" i="4"/>
  <c r="H212" i="4"/>
  <c r="H208" i="4"/>
  <c r="H209" i="4"/>
  <c r="H207" i="4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K6" i="22"/>
  <c r="H6" i="22"/>
  <c r="K11" i="22"/>
  <c r="J11" i="22"/>
  <c r="K5" i="22"/>
  <c r="H5" i="22"/>
  <c r="K4" i="22"/>
  <c r="H4" i="22"/>
  <c r="I280" i="21"/>
  <c r="H280" i="21"/>
  <c r="G248" i="21"/>
  <c r="M248" i="21" s="1"/>
  <c r="G247" i="21"/>
  <c r="K247" i="21" s="1"/>
  <c r="G246" i="21"/>
  <c r="G245" i="21"/>
  <c r="G244" i="21"/>
  <c r="K244" i="21" s="1"/>
  <c r="L242" i="21"/>
  <c r="G241" i="21"/>
  <c r="M241" i="21" s="1"/>
  <c r="G240" i="21"/>
  <c r="K240" i="21" s="1"/>
  <c r="G238" i="21"/>
  <c r="L239" i="21" s="1"/>
  <c r="G237" i="21"/>
  <c r="K237" i="21" s="1"/>
  <c r="L236" i="21"/>
  <c r="K234" i="21"/>
  <c r="G233" i="21"/>
  <c r="K233" i="21" s="1"/>
  <c r="L232" i="21"/>
  <c r="K231" i="21"/>
  <c r="L230" i="21"/>
  <c r="G229" i="21"/>
  <c r="L229" i="21" s="1"/>
  <c r="K228" i="21"/>
  <c r="K225" i="21"/>
  <c r="L224" i="21"/>
  <c r="L223" i="21"/>
  <c r="G222" i="21"/>
  <c r="K222" i="21" s="1"/>
  <c r="K221" i="21"/>
  <c r="G149" i="21"/>
  <c r="L149" i="21" s="1"/>
  <c r="K148" i="21"/>
  <c r="G145" i="21"/>
  <c r="M145" i="21" s="1"/>
  <c r="L144" i="21"/>
  <c r="G143" i="21"/>
  <c r="M143" i="21" s="1"/>
  <c r="G140" i="21"/>
  <c r="M140" i="21" s="1"/>
  <c r="L139" i="21"/>
  <c r="L138" i="21"/>
  <c r="G137" i="21"/>
  <c r="K137" i="21" s="1"/>
  <c r="G136" i="21"/>
  <c r="K136" i="21" s="1"/>
  <c r="G135" i="21"/>
  <c r="M135" i="21" s="1"/>
  <c r="K82" i="21"/>
  <c r="M81" i="21"/>
  <c r="M80" i="21"/>
  <c r="G79" i="21"/>
  <c r="M79" i="21" s="1"/>
  <c r="G77" i="21"/>
  <c r="K78" i="21" s="1"/>
  <c r="K76" i="21"/>
  <c r="G75" i="21"/>
  <c r="K75" i="21" s="1"/>
  <c r="L74" i="21"/>
  <c r="G73" i="21"/>
  <c r="M73" i="21" s="1"/>
  <c r="G72" i="21"/>
  <c r="K72" i="21" s="1"/>
  <c r="G70" i="21"/>
  <c r="K71" i="21" s="1"/>
  <c r="L69" i="21"/>
  <c r="K68" i="21"/>
  <c r="G67" i="21"/>
  <c r="M67" i="21" s="1"/>
  <c r="K66" i="21"/>
  <c r="G65" i="21"/>
  <c r="M65" i="21" s="1"/>
  <c r="G64" i="21"/>
  <c r="K64" i="21" s="1"/>
  <c r="K63" i="21"/>
  <c r="L62" i="21"/>
  <c r="G61" i="21"/>
  <c r="C206" i="4"/>
  <c r="B206" i="4"/>
  <c r="A206" i="4"/>
  <c r="G34" i="19"/>
  <c r="E34" i="19"/>
  <c r="C34" i="19"/>
  <c r="B34" i="19"/>
  <c r="G25" i="20"/>
  <c r="M25" i="20" s="1"/>
  <c r="G205" i="4" s="1"/>
  <c r="F205" i="4"/>
  <c r="E205" i="4"/>
  <c r="C205" i="4"/>
  <c r="B205" i="4"/>
  <c r="A205" i="4"/>
  <c r="G33" i="19"/>
  <c r="F33" i="19"/>
  <c r="C33" i="19"/>
  <c r="B33" i="19"/>
  <c r="G24" i="20"/>
  <c r="L24" i="20" s="1"/>
  <c r="F204" i="4" s="1"/>
  <c r="G23" i="20"/>
  <c r="G22" i="20"/>
  <c r="G204" i="4"/>
  <c r="C204" i="4"/>
  <c r="B204" i="4"/>
  <c r="A204" i="4"/>
  <c r="G203" i="4"/>
  <c r="F203" i="4"/>
  <c r="E203" i="4"/>
  <c r="C203" i="4"/>
  <c r="B203" i="4"/>
  <c r="A203" i="4"/>
  <c r="E32" i="19"/>
  <c r="C32" i="19"/>
  <c r="B32" i="19"/>
  <c r="E31" i="19"/>
  <c r="C31" i="19"/>
  <c r="B31" i="19"/>
  <c r="G202" i="4"/>
  <c r="C202" i="4"/>
  <c r="B202" i="4"/>
  <c r="A202" i="4"/>
  <c r="G201" i="4"/>
  <c r="E201" i="4"/>
  <c r="C201" i="4"/>
  <c r="B201" i="4"/>
  <c r="A201" i="4"/>
  <c r="K21" i="20"/>
  <c r="E202" i="4" s="1"/>
  <c r="L20" i="20"/>
  <c r="F202" i="4" s="1"/>
  <c r="G30" i="19"/>
  <c r="E30" i="19"/>
  <c r="C30" i="19"/>
  <c r="B30" i="19"/>
  <c r="M14" i="20"/>
  <c r="G192" i="4" s="1"/>
  <c r="G200" i="4"/>
  <c r="E200" i="4"/>
  <c r="C200" i="4"/>
  <c r="B200" i="4"/>
  <c r="A200" i="4"/>
  <c r="F199" i="4"/>
  <c r="E199" i="4"/>
  <c r="C199" i="4"/>
  <c r="B199" i="4"/>
  <c r="A199" i="4"/>
  <c r="G18" i="20"/>
  <c r="M18" i="20" s="1"/>
  <c r="G199" i="4" s="1"/>
  <c r="G28" i="19"/>
  <c r="F28" i="19"/>
  <c r="E28" i="19"/>
  <c r="C28" i="19"/>
  <c r="B28" i="19"/>
  <c r="G27" i="19"/>
  <c r="E27" i="19"/>
  <c r="C27" i="19"/>
  <c r="B27" i="19"/>
  <c r="G198" i="4"/>
  <c r="F198" i="4"/>
  <c r="E198" i="4"/>
  <c r="C198" i="4"/>
  <c r="B198" i="4"/>
  <c r="A198" i="4"/>
  <c r="F26" i="19"/>
  <c r="C26" i="19"/>
  <c r="B26" i="19"/>
  <c r="G197" i="4"/>
  <c r="F197" i="4"/>
  <c r="E197" i="4"/>
  <c r="C197" i="4"/>
  <c r="B197" i="4"/>
  <c r="A197" i="4"/>
  <c r="E25" i="19"/>
  <c r="G25" i="19"/>
  <c r="H25" i="19"/>
  <c r="C25" i="19"/>
  <c r="B25" i="19"/>
  <c r="G196" i="4"/>
  <c r="F196" i="4"/>
  <c r="E196" i="4"/>
  <c r="C196" i="4"/>
  <c r="B196" i="4"/>
  <c r="A196" i="4"/>
  <c r="F24" i="19"/>
  <c r="E24" i="19"/>
  <c r="D24" i="19"/>
  <c r="C24" i="19"/>
  <c r="B24" i="19"/>
  <c r="G195" i="4"/>
  <c r="E195" i="4"/>
  <c r="C195" i="4"/>
  <c r="B195" i="4"/>
  <c r="A195" i="4"/>
  <c r="G194" i="4"/>
  <c r="E194" i="4"/>
  <c r="C194" i="4"/>
  <c r="B194" i="4"/>
  <c r="A194" i="4"/>
  <c r="G17" i="20"/>
  <c r="G16" i="20"/>
  <c r="F23" i="19"/>
  <c r="E23" i="19"/>
  <c r="C23" i="19"/>
  <c r="B23" i="19"/>
  <c r="L15" i="20"/>
  <c r="G193" i="4"/>
  <c r="F193" i="4"/>
  <c r="E193" i="4"/>
  <c r="C193" i="4"/>
  <c r="B193" i="4"/>
  <c r="A193" i="4"/>
  <c r="G21" i="19"/>
  <c r="F21" i="19"/>
  <c r="E21" i="19"/>
  <c r="D21" i="19"/>
  <c r="C21" i="19"/>
  <c r="B21" i="19"/>
  <c r="F20" i="19"/>
  <c r="E20" i="19"/>
  <c r="C20" i="19"/>
  <c r="B20" i="19"/>
  <c r="F192" i="4"/>
  <c r="E192" i="4"/>
  <c r="C192" i="4"/>
  <c r="B192" i="4"/>
  <c r="A192" i="4"/>
  <c r="E191" i="4"/>
  <c r="C191" i="4"/>
  <c r="B191" i="4"/>
  <c r="A191" i="4"/>
  <c r="G13" i="20"/>
  <c r="G191" i="4" s="1"/>
  <c r="G19" i="19"/>
  <c r="F19" i="19"/>
  <c r="C19" i="19"/>
  <c r="B19" i="19"/>
  <c r="G12" i="20"/>
  <c r="G11" i="20"/>
  <c r="E190" i="4"/>
  <c r="C190" i="4"/>
  <c r="B190" i="4"/>
  <c r="A190" i="4"/>
  <c r="F18" i="19"/>
  <c r="E18" i="19"/>
  <c r="C18" i="19"/>
  <c r="B18" i="19"/>
  <c r="C189" i="4"/>
  <c r="B189" i="4"/>
  <c r="C17" i="19"/>
  <c r="K10" i="20"/>
  <c r="E189" i="4" s="1"/>
  <c r="A189" i="4"/>
  <c r="C188" i="4"/>
  <c r="B188" i="4"/>
  <c r="A188" i="4"/>
  <c r="C187" i="4"/>
  <c r="B187" i="4"/>
  <c r="A187" i="4"/>
  <c r="C186" i="4"/>
  <c r="B186" i="4"/>
  <c r="A186" i="4"/>
  <c r="E14" i="19"/>
  <c r="C14" i="19"/>
  <c r="B14" i="19"/>
  <c r="F185" i="4"/>
  <c r="C185" i="4"/>
  <c r="B185" i="4"/>
  <c r="A185" i="4"/>
  <c r="G13" i="19"/>
  <c r="F13" i="19"/>
  <c r="E13" i="19"/>
  <c r="C13" i="19"/>
  <c r="B13" i="19"/>
  <c r="M9" i="20"/>
  <c r="M8" i="20"/>
  <c r="F183" i="4"/>
  <c r="G6" i="20"/>
  <c r="M6" i="20" s="1"/>
  <c r="C184" i="4"/>
  <c r="B184" i="4"/>
  <c r="A184" i="4"/>
  <c r="G12" i="19"/>
  <c r="E12" i="19"/>
  <c r="C12" i="19"/>
  <c r="B12" i="19"/>
  <c r="L5" i="20"/>
  <c r="F184" i="4" s="1"/>
  <c r="C183" i="4"/>
  <c r="B183" i="4"/>
  <c r="A183" i="4"/>
  <c r="C182" i="4"/>
  <c r="B182" i="4"/>
  <c r="A182" i="4"/>
  <c r="E11" i="19"/>
  <c r="C11" i="19"/>
  <c r="B11" i="19"/>
  <c r="C181" i="4"/>
  <c r="B181" i="4"/>
  <c r="A181" i="4"/>
  <c r="C180" i="4"/>
  <c r="B180" i="4"/>
  <c r="A180" i="4"/>
  <c r="C9" i="19"/>
  <c r="D177" i="4"/>
  <c r="G4" i="20"/>
  <c r="I280" i="20"/>
  <c r="H280" i="20"/>
  <c r="G248" i="20"/>
  <c r="M248" i="20" s="1"/>
  <c r="G247" i="20"/>
  <c r="K247" i="20" s="1"/>
  <c r="G246" i="20"/>
  <c r="G245" i="20"/>
  <c r="G244" i="20"/>
  <c r="K244" i="20" s="1"/>
  <c r="L242" i="20"/>
  <c r="G241" i="20"/>
  <c r="M241" i="20" s="1"/>
  <c r="G240" i="20"/>
  <c r="K240" i="20" s="1"/>
  <c r="G238" i="20"/>
  <c r="L239" i="20" s="1"/>
  <c r="G237" i="20"/>
  <c r="K237" i="20" s="1"/>
  <c r="L236" i="20"/>
  <c r="K234" i="20"/>
  <c r="G233" i="20"/>
  <c r="K233" i="20" s="1"/>
  <c r="L232" i="20"/>
  <c r="K231" i="20"/>
  <c r="L230" i="20"/>
  <c r="G229" i="20"/>
  <c r="L229" i="20" s="1"/>
  <c r="K228" i="20"/>
  <c r="K225" i="20"/>
  <c r="L224" i="20"/>
  <c r="L223" i="20"/>
  <c r="G222" i="20"/>
  <c r="K222" i="20" s="1"/>
  <c r="K221" i="20"/>
  <c r="G149" i="20"/>
  <c r="L149" i="20" s="1"/>
  <c r="K148" i="20"/>
  <c r="G145" i="20"/>
  <c r="M151" i="20" s="1"/>
  <c r="L144" i="20"/>
  <c r="G143" i="20"/>
  <c r="M143" i="20" s="1"/>
  <c r="G140" i="20"/>
  <c r="M140" i="20" s="1"/>
  <c r="L139" i="20"/>
  <c r="L138" i="20"/>
  <c r="G137" i="20"/>
  <c r="K137" i="20" s="1"/>
  <c r="G136" i="20"/>
  <c r="K136" i="20" s="1"/>
  <c r="G135" i="20"/>
  <c r="M135" i="20" s="1"/>
  <c r="K82" i="20"/>
  <c r="M81" i="20"/>
  <c r="M80" i="20"/>
  <c r="G79" i="20"/>
  <c r="M79" i="20" s="1"/>
  <c r="G77" i="20"/>
  <c r="K78" i="20" s="1"/>
  <c r="K76" i="20"/>
  <c r="G75" i="20"/>
  <c r="K75" i="20" s="1"/>
  <c r="L74" i="20"/>
  <c r="G73" i="20"/>
  <c r="M73" i="20" s="1"/>
  <c r="G72" i="20"/>
  <c r="K72" i="20" s="1"/>
  <c r="G70" i="20"/>
  <c r="K71" i="20" s="1"/>
  <c r="L69" i="20"/>
  <c r="K68" i="20"/>
  <c r="G67" i="20"/>
  <c r="M67" i="20" s="1"/>
  <c r="K66" i="20"/>
  <c r="G65" i="20"/>
  <c r="M65" i="20" s="1"/>
  <c r="G64" i="20"/>
  <c r="K64" i="20" s="1"/>
  <c r="K63" i="20"/>
  <c r="L62" i="20"/>
  <c r="G61" i="20"/>
  <c r="G7" i="19"/>
  <c r="F7" i="19"/>
  <c r="E7" i="19"/>
  <c r="B179" i="4" s="1"/>
  <c r="D7" i="19"/>
  <c r="C7" i="19"/>
  <c r="B7" i="19"/>
  <c r="C179" i="4"/>
  <c r="A179" i="4"/>
  <c r="C178" i="4"/>
  <c r="B178" i="4"/>
  <c r="A178" i="4"/>
  <c r="C177" i="4"/>
  <c r="B177" i="4"/>
  <c r="A177" i="4"/>
  <c r="F6" i="19"/>
  <c r="E6" i="19"/>
  <c r="C6" i="19"/>
  <c r="B6" i="19"/>
  <c r="C176" i="4"/>
  <c r="B176" i="4"/>
  <c r="A176" i="4"/>
  <c r="B33" i="18"/>
  <c r="F175" i="4"/>
  <c r="C175" i="4"/>
  <c r="B175" i="4"/>
  <c r="A175" i="4"/>
  <c r="F174" i="4"/>
  <c r="C174" i="4"/>
  <c r="B174" i="4"/>
  <c r="A174" i="4"/>
  <c r="H34" i="19"/>
  <c r="H33" i="19"/>
  <c r="H32" i="19"/>
  <c r="H31" i="19"/>
  <c r="H30" i="19"/>
  <c r="H29" i="19"/>
  <c r="H28" i="19"/>
  <c r="H27" i="19"/>
  <c r="H26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5" i="19"/>
  <c r="K4" i="19"/>
  <c r="H4" i="19"/>
  <c r="F173" i="4"/>
  <c r="C173" i="4"/>
  <c r="B173" i="4"/>
  <c r="A173" i="4"/>
  <c r="F172" i="4"/>
  <c r="C172" i="4"/>
  <c r="B172" i="4"/>
  <c r="A172" i="4"/>
  <c r="F31" i="18"/>
  <c r="E31" i="18"/>
  <c r="C31" i="18"/>
  <c r="B31" i="18"/>
  <c r="F171" i="4"/>
  <c r="C171" i="4"/>
  <c r="B171" i="4"/>
  <c r="A171" i="4"/>
  <c r="F30" i="18"/>
  <c r="E30" i="18"/>
  <c r="C30" i="18"/>
  <c r="B30" i="18"/>
  <c r="F170" i="4"/>
  <c r="C170" i="4"/>
  <c r="B170" i="4"/>
  <c r="A170" i="4"/>
  <c r="B29" i="18"/>
  <c r="G169" i="4"/>
  <c r="M24" i="17"/>
  <c r="F169" i="4"/>
  <c r="E169" i="4"/>
  <c r="C169" i="4"/>
  <c r="B169" i="4"/>
  <c r="A169" i="4"/>
  <c r="F168" i="4"/>
  <c r="M25" i="17"/>
  <c r="K26" i="17"/>
  <c r="G28" i="17"/>
  <c r="G23" i="17"/>
  <c r="G168" i="4" s="1"/>
  <c r="C168" i="4"/>
  <c r="B168" i="4"/>
  <c r="A168" i="4"/>
  <c r="G27" i="18"/>
  <c r="E27" i="18"/>
  <c r="C27" i="18"/>
  <c r="B27" i="18"/>
  <c r="F167" i="4"/>
  <c r="C167" i="4"/>
  <c r="B167" i="4"/>
  <c r="A167" i="4"/>
  <c r="C26" i="18"/>
  <c r="B26" i="18"/>
  <c r="G21" i="17"/>
  <c r="K22" i="17" s="1"/>
  <c r="E166" i="4" s="1"/>
  <c r="F166" i="4"/>
  <c r="C166" i="4"/>
  <c r="B166" i="4"/>
  <c r="A166" i="4"/>
  <c r="K20" i="17"/>
  <c r="F25" i="18"/>
  <c r="E25" i="18"/>
  <c r="C25" i="18"/>
  <c r="B25" i="18"/>
  <c r="G31" i="14"/>
  <c r="F165" i="4"/>
  <c r="C165" i="4"/>
  <c r="B165" i="4"/>
  <c r="A165" i="4"/>
  <c r="G24" i="18"/>
  <c r="F24" i="18"/>
  <c r="C24" i="18"/>
  <c r="B24" i="18"/>
  <c r="C164" i="4"/>
  <c r="B164" i="4"/>
  <c r="A164" i="4"/>
  <c r="G19" i="17"/>
  <c r="K19" i="17" s="1"/>
  <c r="E164" i="4" s="1"/>
  <c r="E161" i="4"/>
  <c r="G93" i="17"/>
  <c r="L93" i="17" s="1"/>
  <c r="L18" i="17"/>
  <c r="F164" i="4" s="1"/>
  <c r="G23" i="18"/>
  <c r="E23" i="18"/>
  <c r="C23" i="18"/>
  <c r="B23" i="18"/>
  <c r="G17" i="17"/>
  <c r="G163" i="4" s="1"/>
  <c r="G16" i="17"/>
  <c r="K16" i="17" s="1"/>
  <c r="E163" i="4" s="1"/>
  <c r="C163" i="4"/>
  <c r="B163" i="4"/>
  <c r="A163" i="4"/>
  <c r="F22" i="18"/>
  <c r="E22" i="18"/>
  <c r="C22" i="18"/>
  <c r="B22" i="18"/>
  <c r="E162" i="4"/>
  <c r="C162" i="4"/>
  <c r="B162" i="4"/>
  <c r="A162" i="4"/>
  <c r="G21" i="18"/>
  <c r="E21" i="18"/>
  <c r="C21" i="18"/>
  <c r="B21" i="18"/>
  <c r="C161" i="4"/>
  <c r="B161" i="4"/>
  <c r="A161" i="4"/>
  <c r="F20" i="18"/>
  <c r="C20" i="18"/>
  <c r="B20" i="18"/>
  <c r="C160" i="4"/>
  <c r="B160" i="4"/>
  <c r="A160" i="4"/>
  <c r="F19" i="18"/>
  <c r="E19" i="18"/>
  <c r="C19" i="18"/>
  <c r="B19" i="18"/>
  <c r="G14" i="17"/>
  <c r="K15" i="17" s="1"/>
  <c r="E160" i="4" s="1"/>
  <c r="B159" i="4"/>
  <c r="C159" i="4"/>
  <c r="A159" i="4"/>
  <c r="E18" i="18"/>
  <c r="C18" i="18"/>
  <c r="B18" i="18"/>
  <c r="L13" i="17"/>
  <c r="F158" i="4" s="1"/>
  <c r="B158" i="4"/>
  <c r="G158" i="4"/>
  <c r="C158" i="4"/>
  <c r="A158" i="4"/>
  <c r="D17" i="18"/>
  <c r="G17" i="18"/>
  <c r="F17" i="18"/>
  <c r="E17" i="18"/>
  <c r="C17" i="18"/>
  <c r="B17" i="18"/>
  <c r="K12" i="17"/>
  <c r="E157" i="4" s="1"/>
  <c r="G157" i="4"/>
  <c r="F157" i="4"/>
  <c r="C157" i="4"/>
  <c r="B157" i="4"/>
  <c r="A157" i="4"/>
  <c r="E16" i="18"/>
  <c r="C16" i="18"/>
  <c r="B16" i="18"/>
  <c r="G11" i="17"/>
  <c r="M11" i="17" s="1"/>
  <c r="F156" i="4"/>
  <c r="C156" i="4"/>
  <c r="B156" i="4"/>
  <c r="A156" i="4"/>
  <c r="G155" i="4"/>
  <c r="F155" i="4"/>
  <c r="C155" i="4"/>
  <c r="B155" i="4"/>
  <c r="A155" i="4"/>
  <c r="F14" i="18"/>
  <c r="E14" i="18"/>
  <c r="B14" i="18"/>
  <c r="G154" i="4"/>
  <c r="F154" i="4"/>
  <c r="E154" i="4"/>
  <c r="C154" i="4"/>
  <c r="B154" i="4"/>
  <c r="A154" i="4"/>
  <c r="G13" i="18"/>
  <c r="E13" i="18"/>
  <c r="C13" i="18"/>
  <c r="B13" i="18"/>
  <c r="K10" i="17"/>
  <c r="G153" i="4"/>
  <c r="F153" i="4"/>
  <c r="C153" i="4"/>
  <c r="B153" i="4"/>
  <c r="A153" i="4"/>
  <c r="G12" i="18"/>
  <c r="E12" i="18"/>
  <c r="C12" i="18"/>
  <c r="B12" i="18"/>
  <c r="E11" i="18"/>
  <c r="G9" i="17"/>
  <c r="M9" i="17" s="1"/>
  <c r="G152" i="4" s="1"/>
  <c r="G8" i="17"/>
  <c r="K8" i="17" s="1"/>
  <c r="F152" i="4"/>
  <c r="E152" i="4"/>
  <c r="C152" i="4"/>
  <c r="B152" i="4"/>
  <c r="A152" i="4"/>
  <c r="F151" i="4"/>
  <c r="C151" i="4"/>
  <c r="B151" i="4"/>
  <c r="A151" i="4"/>
  <c r="G11" i="18"/>
  <c r="C11" i="18"/>
  <c r="B11" i="18"/>
  <c r="G10" i="18"/>
  <c r="F10" i="18"/>
  <c r="E10" i="18"/>
  <c r="D10" i="18"/>
  <c r="C10" i="18"/>
  <c r="B10" i="18"/>
  <c r="F150" i="4"/>
  <c r="E150" i="4"/>
  <c r="C150" i="4"/>
  <c r="B150" i="4"/>
  <c r="A150" i="4"/>
  <c r="B9" i="18"/>
  <c r="F9" i="18"/>
  <c r="E9" i="18"/>
  <c r="D9" i="18"/>
  <c r="C9" i="18"/>
  <c r="F149" i="4"/>
  <c r="C149" i="4"/>
  <c r="B149" i="4"/>
  <c r="A149" i="4"/>
  <c r="G8" i="18"/>
  <c r="F8" i="18"/>
  <c r="E8" i="18"/>
  <c r="C8" i="18"/>
  <c r="B8" i="18"/>
  <c r="K7" i="17"/>
  <c r="E148" i="4" s="1"/>
  <c r="F148" i="4"/>
  <c r="C148" i="4"/>
  <c r="B148" i="4"/>
  <c r="A148" i="4"/>
  <c r="E7" i="18"/>
  <c r="B7" i="18"/>
  <c r="F147" i="4"/>
  <c r="C147" i="4"/>
  <c r="B147" i="4"/>
  <c r="A147" i="4"/>
  <c r="F146" i="4"/>
  <c r="E146" i="4"/>
  <c r="C146" i="4"/>
  <c r="B146" i="4"/>
  <c r="A146" i="4"/>
  <c r="E5" i="18"/>
  <c r="F5" i="18"/>
  <c r="C5" i="18"/>
  <c r="B5" i="18"/>
  <c r="G84" i="21" l="1"/>
  <c r="H206" i="4"/>
  <c r="K7" i="22"/>
  <c r="M151" i="21"/>
  <c r="K61" i="21"/>
  <c r="K246" i="21"/>
  <c r="G30" i="20"/>
  <c r="H205" i="4"/>
  <c r="K23" i="20"/>
  <c r="E204" i="4" s="1"/>
  <c r="H203" i="4"/>
  <c r="H204" i="4"/>
  <c r="L17" i="20"/>
  <c r="F195" i="4" s="1"/>
  <c r="H195" i="4" s="1"/>
  <c r="H201" i="4"/>
  <c r="H202" i="4"/>
  <c r="H200" i="4"/>
  <c r="H196" i="4"/>
  <c r="H198" i="4"/>
  <c r="H199" i="4"/>
  <c r="H194" i="4"/>
  <c r="H197" i="4"/>
  <c r="H193" i="4"/>
  <c r="H192" i="4"/>
  <c r="G184" i="4"/>
  <c r="M13" i="20"/>
  <c r="L12" i="20"/>
  <c r="F191" i="4" s="1"/>
  <c r="H191" i="4" s="1"/>
  <c r="K11" i="19"/>
  <c r="H190" i="4"/>
  <c r="H188" i="4"/>
  <c r="H189" i="4"/>
  <c r="H187" i="4"/>
  <c r="H186" i="4"/>
  <c r="H185" i="4"/>
  <c r="J11" i="19"/>
  <c r="H181" i="4"/>
  <c r="H182" i="4"/>
  <c r="K246" i="20"/>
  <c r="H184" i="4"/>
  <c r="M4" i="20"/>
  <c r="G177" i="4" s="1"/>
  <c r="H183" i="4"/>
  <c r="H180" i="4"/>
  <c r="H178" i="4"/>
  <c r="K61" i="20"/>
  <c r="G84" i="20"/>
  <c r="M145" i="20"/>
  <c r="H179" i="4"/>
  <c r="H177" i="4"/>
  <c r="H168" i="4"/>
  <c r="H169" i="4"/>
  <c r="H170" i="4"/>
  <c r="H171" i="4"/>
  <c r="H172" i="4"/>
  <c r="H174" i="4"/>
  <c r="H175" i="4"/>
  <c r="H6" i="19"/>
  <c r="H176" i="4"/>
  <c r="H173" i="4"/>
  <c r="K5" i="19"/>
  <c r="H167" i="4"/>
  <c r="M23" i="17"/>
  <c r="M17" i="17"/>
  <c r="H166" i="4"/>
  <c r="E165" i="4"/>
  <c r="H165" i="4" s="1"/>
  <c r="E151" i="4"/>
  <c r="H151" i="4" s="1"/>
  <c r="E158" i="4"/>
  <c r="H158" i="4" s="1"/>
  <c r="H164" i="4"/>
  <c r="H163" i="4"/>
  <c r="H161" i="4"/>
  <c r="H162" i="4"/>
  <c r="H160" i="4"/>
  <c r="H159" i="4"/>
  <c r="H155" i="4"/>
  <c r="H157" i="4"/>
  <c r="H156" i="4"/>
  <c r="G156" i="4"/>
  <c r="E153" i="4"/>
  <c r="H153" i="4" s="1"/>
  <c r="H154" i="4"/>
  <c r="H152" i="4"/>
  <c r="H150" i="4"/>
  <c r="H149" i="4"/>
  <c r="H146" i="4"/>
  <c r="H148" i="4"/>
  <c r="H147" i="4"/>
  <c r="L6" i="17"/>
  <c r="F145" i="4" s="1"/>
  <c r="G5" i="17"/>
  <c r="G4" i="17"/>
  <c r="G4" i="18"/>
  <c r="F4" i="18"/>
  <c r="E4" i="18"/>
  <c r="C4" i="18"/>
  <c r="B4" i="18"/>
  <c r="A145" i="4"/>
  <c r="C145" i="4"/>
  <c r="B145" i="4"/>
  <c r="K11" i="18"/>
  <c r="H5" i="18"/>
  <c r="H6" i="18"/>
  <c r="J11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K6" i="18"/>
  <c r="K4" i="18"/>
  <c r="I224" i="17"/>
  <c r="H224" i="17"/>
  <c r="G192" i="17"/>
  <c r="M192" i="17" s="1"/>
  <c r="G191" i="17"/>
  <c r="K191" i="17" s="1"/>
  <c r="G190" i="17"/>
  <c r="G189" i="17"/>
  <c r="G188" i="17"/>
  <c r="K188" i="17" s="1"/>
  <c r="L186" i="17"/>
  <c r="G185" i="17"/>
  <c r="M185" i="17" s="1"/>
  <c r="G184" i="17"/>
  <c r="K184" i="17" s="1"/>
  <c r="G182" i="17"/>
  <c r="L183" i="17" s="1"/>
  <c r="G181" i="17"/>
  <c r="K181" i="17" s="1"/>
  <c r="L180" i="17"/>
  <c r="K178" i="17"/>
  <c r="G177" i="17"/>
  <c r="K177" i="17" s="1"/>
  <c r="L176" i="17"/>
  <c r="K175" i="17"/>
  <c r="L174" i="17"/>
  <c r="G173" i="17"/>
  <c r="L173" i="17" s="1"/>
  <c r="K172" i="17"/>
  <c r="K169" i="17"/>
  <c r="L168" i="17"/>
  <c r="L167" i="17"/>
  <c r="G166" i="17"/>
  <c r="K166" i="17" s="1"/>
  <c r="K165" i="17"/>
  <c r="K92" i="17"/>
  <c r="G89" i="17"/>
  <c r="M95" i="17" s="1"/>
  <c r="L88" i="17"/>
  <c r="G87" i="17"/>
  <c r="M87" i="17" s="1"/>
  <c r="G84" i="17"/>
  <c r="M84" i="17" s="1"/>
  <c r="L83" i="17"/>
  <c r="L82" i="17"/>
  <c r="G81" i="17"/>
  <c r="K81" i="17" s="1"/>
  <c r="G80" i="17"/>
  <c r="K80" i="17" s="1"/>
  <c r="G79" i="17"/>
  <c r="M79" i="17" s="1"/>
  <c r="G144" i="4"/>
  <c r="F144" i="4"/>
  <c r="L28" i="14"/>
  <c r="L27" i="14"/>
  <c r="L26" i="14"/>
  <c r="C144" i="4"/>
  <c r="B144" i="4"/>
  <c r="A144" i="4"/>
  <c r="H238" i="4"/>
  <c r="F33" i="15"/>
  <c r="E33" i="15"/>
  <c r="D33" i="15"/>
  <c r="C33" i="15"/>
  <c r="B33" i="15"/>
  <c r="F32" i="15"/>
  <c r="E32" i="15"/>
  <c r="A134" i="4"/>
  <c r="F143" i="4"/>
  <c r="C143" i="4"/>
  <c r="B143" i="4"/>
  <c r="A143" i="4"/>
  <c r="G25" i="14"/>
  <c r="G141" i="4"/>
  <c r="M25" i="14"/>
  <c r="G143" i="4" s="1"/>
  <c r="G24" i="14"/>
  <c r="K24" i="14" s="1"/>
  <c r="E143" i="4" s="1"/>
  <c r="D32" i="15"/>
  <c r="C32" i="15"/>
  <c r="B32" i="15"/>
  <c r="G142" i="4"/>
  <c r="F142" i="4"/>
  <c r="C142" i="4"/>
  <c r="B142" i="4"/>
  <c r="A142" i="4"/>
  <c r="B31" i="15"/>
  <c r="K23" i="14"/>
  <c r="K22" i="14"/>
  <c r="F141" i="4"/>
  <c r="C141" i="4"/>
  <c r="B141" i="4"/>
  <c r="A141" i="4"/>
  <c r="E30" i="15"/>
  <c r="C30" i="15"/>
  <c r="B30" i="15"/>
  <c r="L21" i="14"/>
  <c r="F140" i="4" s="1"/>
  <c r="G140" i="4"/>
  <c r="E140" i="4"/>
  <c r="C140" i="4"/>
  <c r="B140" i="4"/>
  <c r="A140" i="4"/>
  <c r="E29" i="15"/>
  <c r="H29" i="15" s="1"/>
  <c r="C29" i="15"/>
  <c r="B29" i="15"/>
  <c r="G20" i="14"/>
  <c r="M20" i="14" s="1"/>
  <c r="G139" i="4" s="1"/>
  <c r="F139" i="4"/>
  <c r="E139" i="4"/>
  <c r="C139" i="4"/>
  <c r="B139" i="4"/>
  <c r="A139" i="4"/>
  <c r="F28" i="15"/>
  <c r="H28" i="15" s="1"/>
  <c r="B28" i="15"/>
  <c r="F27" i="15"/>
  <c r="C138" i="4" s="1"/>
  <c r="G138" i="4"/>
  <c r="F138" i="4"/>
  <c r="E138" i="4"/>
  <c r="B138" i="4"/>
  <c r="A138" i="4"/>
  <c r="E27" i="15"/>
  <c r="H27" i="15" s="1"/>
  <c r="G27" i="15"/>
  <c r="C27" i="15"/>
  <c r="B27" i="15"/>
  <c r="G137" i="4"/>
  <c r="F137" i="4"/>
  <c r="E137" i="4"/>
  <c r="C137" i="4"/>
  <c r="B137" i="4"/>
  <c r="A137" i="4"/>
  <c r="G26" i="15"/>
  <c r="F26" i="15"/>
  <c r="C26" i="15"/>
  <c r="B26" i="15"/>
  <c r="G136" i="4"/>
  <c r="F136" i="4"/>
  <c r="E136" i="4"/>
  <c r="C136" i="4"/>
  <c r="B136" i="4"/>
  <c r="A136" i="4"/>
  <c r="F25" i="15"/>
  <c r="H25" i="15" s="1"/>
  <c r="C25" i="15"/>
  <c r="B25" i="15"/>
  <c r="G135" i="4"/>
  <c r="F135" i="4"/>
  <c r="E135" i="4"/>
  <c r="C135" i="4"/>
  <c r="B135" i="4"/>
  <c r="A135" i="4"/>
  <c r="F24" i="15"/>
  <c r="E24" i="15"/>
  <c r="H24" i="15" s="1"/>
  <c r="C24" i="15"/>
  <c r="B24" i="15"/>
  <c r="E134" i="4"/>
  <c r="G134" i="4"/>
  <c r="F134" i="4"/>
  <c r="C134" i="4"/>
  <c r="B134" i="4"/>
  <c r="F23" i="15"/>
  <c r="E23" i="15"/>
  <c r="B23" i="15"/>
  <c r="K15" i="14"/>
  <c r="K19" i="14"/>
  <c r="G133" i="4"/>
  <c r="F133" i="4"/>
  <c r="C133" i="4"/>
  <c r="B133" i="4"/>
  <c r="A133" i="4"/>
  <c r="F22" i="15"/>
  <c r="E22" i="15"/>
  <c r="C22" i="15"/>
  <c r="B22" i="15"/>
  <c r="G132" i="4"/>
  <c r="E132" i="4"/>
  <c r="C132" i="4"/>
  <c r="B132" i="4"/>
  <c r="A132" i="4"/>
  <c r="G21" i="15"/>
  <c r="F21" i="15"/>
  <c r="E21" i="15"/>
  <c r="C21" i="15"/>
  <c r="B21" i="15"/>
  <c r="L18" i="14"/>
  <c r="F132" i="4" s="1"/>
  <c r="L17" i="14"/>
  <c r="K16" i="14"/>
  <c r="E131" i="4" s="1"/>
  <c r="G131" i="4"/>
  <c r="C131" i="4"/>
  <c r="B131" i="4"/>
  <c r="A131" i="4"/>
  <c r="F20" i="15"/>
  <c r="B20" i="15"/>
  <c r="G130" i="4"/>
  <c r="F130" i="4"/>
  <c r="E130" i="4"/>
  <c r="C130" i="4"/>
  <c r="B130" i="4"/>
  <c r="A130" i="4"/>
  <c r="G19" i="15"/>
  <c r="F19" i="15"/>
  <c r="E19" i="15"/>
  <c r="D19" i="15"/>
  <c r="C19" i="15"/>
  <c r="B19" i="15"/>
  <c r="G129" i="4"/>
  <c r="F129" i="4"/>
  <c r="E129" i="4"/>
  <c r="C129" i="4"/>
  <c r="B129" i="4"/>
  <c r="A129" i="4"/>
  <c r="G18" i="15"/>
  <c r="F18" i="15"/>
  <c r="D18" i="15"/>
  <c r="E18" i="15"/>
  <c r="C18" i="15"/>
  <c r="B18" i="15"/>
  <c r="G12" i="14"/>
  <c r="G4" i="13"/>
  <c r="M12" i="14"/>
  <c r="G128" i="4" s="1"/>
  <c r="G7" i="14"/>
  <c r="F128" i="4"/>
  <c r="E128" i="4"/>
  <c r="C128" i="4"/>
  <c r="B128" i="4"/>
  <c r="A128" i="4"/>
  <c r="E17" i="15"/>
  <c r="C17" i="15"/>
  <c r="B17" i="15"/>
  <c r="G127" i="4"/>
  <c r="E127" i="4"/>
  <c r="C127" i="4"/>
  <c r="B127" i="4"/>
  <c r="A127" i="4"/>
  <c r="L11" i="14"/>
  <c r="F127" i="4" s="1"/>
  <c r="G16" i="15"/>
  <c r="E16" i="15"/>
  <c r="C16" i="15"/>
  <c r="B16" i="15"/>
  <c r="G126" i="4"/>
  <c r="E126" i="4"/>
  <c r="C126" i="4"/>
  <c r="B126" i="4"/>
  <c r="A126" i="4"/>
  <c r="F15" i="15"/>
  <c r="E15" i="15"/>
  <c r="C15" i="15"/>
  <c r="B15" i="15"/>
  <c r="G125" i="4"/>
  <c r="E125" i="4"/>
  <c r="C125" i="4"/>
  <c r="B125" i="4"/>
  <c r="A125" i="4"/>
  <c r="F14" i="15"/>
  <c r="H14" i="15" s="1"/>
  <c r="E14" i="15"/>
  <c r="C14" i="15"/>
  <c r="B14" i="15"/>
  <c r="G124" i="4"/>
  <c r="E124" i="4"/>
  <c r="C124" i="4"/>
  <c r="B124" i="4"/>
  <c r="A124" i="4"/>
  <c r="F13" i="15"/>
  <c r="H13" i="15" s="1"/>
  <c r="E13" i="15"/>
  <c r="C13" i="15"/>
  <c r="B13" i="15"/>
  <c r="G123" i="4"/>
  <c r="B123" i="4"/>
  <c r="E123" i="4"/>
  <c r="L10" i="14"/>
  <c r="F123" i="4" s="1"/>
  <c r="J13" i="4"/>
  <c r="K12" i="4"/>
  <c r="K13" i="4" s="1"/>
  <c r="J14" i="4" s="1"/>
  <c r="G8" i="14"/>
  <c r="L8" i="14" s="1"/>
  <c r="F122" i="4" s="1"/>
  <c r="C123" i="4"/>
  <c r="A123" i="4"/>
  <c r="G12" i="15"/>
  <c r="F12" i="15"/>
  <c r="E12" i="15"/>
  <c r="C12" i="15"/>
  <c r="B12" i="15"/>
  <c r="M7" i="14"/>
  <c r="G122" i="4" s="1"/>
  <c r="G6" i="14"/>
  <c r="K6" i="14" s="1"/>
  <c r="E122" i="4" s="1"/>
  <c r="C122" i="4"/>
  <c r="B122" i="4"/>
  <c r="A122" i="4"/>
  <c r="F11" i="15"/>
  <c r="H11" i="15" s="1"/>
  <c r="E11" i="15"/>
  <c r="D11" i="15"/>
  <c r="C11" i="15"/>
  <c r="B11" i="15"/>
  <c r="G121" i="4"/>
  <c r="E121" i="4"/>
  <c r="C121" i="4"/>
  <c r="B121" i="4"/>
  <c r="A121" i="4"/>
  <c r="G10" i="15"/>
  <c r="F10" i="15"/>
  <c r="E10" i="15"/>
  <c r="D10" i="15"/>
  <c r="C10" i="15"/>
  <c r="B10" i="15"/>
  <c r="G120" i="4"/>
  <c r="E120" i="4"/>
  <c r="C120" i="4"/>
  <c r="B120" i="4"/>
  <c r="A120" i="4"/>
  <c r="F9" i="15"/>
  <c r="E9" i="15"/>
  <c r="D9" i="15"/>
  <c r="C9" i="15"/>
  <c r="B9" i="15"/>
  <c r="E119" i="4"/>
  <c r="C119" i="4"/>
  <c r="B119" i="4"/>
  <c r="A119" i="4"/>
  <c r="G8" i="15"/>
  <c r="F8" i="15"/>
  <c r="C8" i="15"/>
  <c r="B8" i="15"/>
  <c r="D118" i="4"/>
  <c r="G5" i="14"/>
  <c r="M5" i="14" s="1"/>
  <c r="G118" i="4" s="1"/>
  <c r="C118" i="4"/>
  <c r="B118" i="4"/>
  <c r="A118" i="4"/>
  <c r="G4" i="14"/>
  <c r="K4" i="14" s="1"/>
  <c r="E118" i="4" s="1"/>
  <c r="E7" i="15"/>
  <c r="H7" i="15" s="1"/>
  <c r="C7" i="15"/>
  <c r="B7" i="15"/>
  <c r="C117" i="4"/>
  <c r="B117" i="4"/>
  <c r="A117" i="4"/>
  <c r="F6" i="15"/>
  <c r="E6" i="15"/>
  <c r="C6" i="15"/>
  <c r="B6" i="15"/>
  <c r="C116" i="4"/>
  <c r="B116" i="4"/>
  <c r="A116" i="4"/>
  <c r="G5" i="15"/>
  <c r="F5" i="15"/>
  <c r="E5" i="15"/>
  <c r="H5" i="15" s="1"/>
  <c r="C5" i="15"/>
  <c r="B5" i="15"/>
  <c r="A115" i="4"/>
  <c r="C115" i="4"/>
  <c r="B115" i="4"/>
  <c r="G4" i="15"/>
  <c r="F4" i="15"/>
  <c r="E4" i="15"/>
  <c r="C4" i="15"/>
  <c r="B4" i="15"/>
  <c r="H34" i="15"/>
  <c r="H33" i="15"/>
  <c r="H32" i="15"/>
  <c r="H31" i="15"/>
  <c r="H30" i="15"/>
  <c r="H26" i="15"/>
  <c r="H23" i="15"/>
  <c r="H22" i="15"/>
  <c r="H21" i="15"/>
  <c r="H20" i="15"/>
  <c r="H19" i="15"/>
  <c r="H18" i="15"/>
  <c r="H17" i="15"/>
  <c r="H16" i="15"/>
  <c r="H12" i="15"/>
  <c r="H10" i="15"/>
  <c r="H8" i="15"/>
  <c r="K6" i="15"/>
  <c r="K4" i="15"/>
  <c r="K5" i="15"/>
  <c r="I197" i="14"/>
  <c r="H197" i="14"/>
  <c r="G165" i="14"/>
  <c r="M165" i="14" s="1"/>
  <c r="G164" i="14"/>
  <c r="K164" i="14" s="1"/>
  <c r="G163" i="14"/>
  <c r="G162" i="14"/>
  <c r="G161" i="14"/>
  <c r="K161" i="14" s="1"/>
  <c r="L159" i="14"/>
  <c r="G158" i="14"/>
  <c r="M158" i="14" s="1"/>
  <c r="G157" i="14"/>
  <c r="K157" i="14" s="1"/>
  <c r="G155" i="14"/>
  <c r="L156" i="14" s="1"/>
  <c r="G154" i="14"/>
  <c r="K154" i="14" s="1"/>
  <c r="L153" i="14"/>
  <c r="K151" i="14"/>
  <c r="G150" i="14"/>
  <c r="K150" i="14" s="1"/>
  <c r="L149" i="14"/>
  <c r="K148" i="14"/>
  <c r="L147" i="14"/>
  <c r="G146" i="14"/>
  <c r="L146" i="14" s="1"/>
  <c r="K145" i="14"/>
  <c r="K142" i="14"/>
  <c r="L141" i="14"/>
  <c r="L140" i="14"/>
  <c r="G139" i="14"/>
  <c r="K139" i="14" s="1"/>
  <c r="K138" i="14"/>
  <c r="K66" i="14"/>
  <c r="G63" i="14"/>
  <c r="M68" i="14" s="1"/>
  <c r="L62" i="14"/>
  <c r="G61" i="14"/>
  <c r="M61" i="14" s="1"/>
  <c r="G58" i="14"/>
  <c r="M58" i="14" s="1"/>
  <c r="L57" i="14"/>
  <c r="L56" i="14"/>
  <c r="G55" i="14"/>
  <c r="K55" i="14" s="1"/>
  <c r="G54" i="14"/>
  <c r="K54" i="14" s="1"/>
  <c r="G53" i="14"/>
  <c r="M53" i="14" s="1"/>
  <c r="G114" i="4"/>
  <c r="F114" i="4"/>
  <c r="D114" i="4"/>
  <c r="C114" i="4"/>
  <c r="B114" i="4"/>
  <c r="A114" i="4"/>
  <c r="H34" i="12"/>
  <c r="E34" i="12"/>
  <c r="B34" i="12"/>
  <c r="G113" i="4"/>
  <c r="F113" i="4"/>
  <c r="D113" i="4"/>
  <c r="C113" i="4"/>
  <c r="B113" i="4"/>
  <c r="A113" i="4"/>
  <c r="H33" i="12"/>
  <c r="G33" i="12"/>
  <c r="F33" i="12"/>
  <c r="E33" i="12"/>
  <c r="D33" i="12"/>
  <c r="C33" i="12"/>
  <c r="B33" i="12"/>
  <c r="G112" i="4"/>
  <c r="F112" i="4"/>
  <c r="D112" i="4"/>
  <c r="C112" i="4"/>
  <c r="B112" i="4"/>
  <c r="A112" i="4"/>
  <c r="H32" i="12"/>
  <c r="G32" i="12"/>
  <c r="F32" i="12"/>
  <c r="E32" i="12"/>
  <c r="D32" i="12"/>
  <c r="C32" i="12"/>
  <c r="B32" i="12"/>
  <c r="E111" i="4"/>
  <c r="K17" i="13"/>
  <c r="G111" i="4"/>
  <c r="F111" i="4"/>
  <c r="D111" i="4"/>
  <c r="C111" i="4"/>
  <c r="B111" i="4"/>
  <c r="A111" i="4"/>
  <c r="H31" i="12"/>
  <c r="G31" i="12"/>
  <c r="F31" i="12"/>
  <c r="E31" i="12"/>
  <c r="C31" i="12"/>
  <c r="B31" i="12"/>
  <c r="D107" i="4"/>
  <c r="G14" i="13"/>
  <c r="M19" i="13" s="1"/>
  <c r="M14" i="13"/>
  <c r="G107" i="4" s="1"/>
  <c r="F30" i="12"/>
  <c r="C110" i="4"/>
  <c r="E30" i="12"/>
  <c r="G110" i="4"/>
  <c r="F110" i="4"/>
  <c r="D110" i="4"/>
  <c r="B110" i="4"/>
  <c r="A110" i="4"/>
  <c r="C30" i="12"/>
  <c r="B30" i="12"/>
  <c r="E29" i="12"/>
  <c r="B109" i="4" s="1"/>
  <c r="F29" i="12"/>
  <c r="C109" i="4" s="1"/>
  <c r="G109" i="4"/>
  <c r="F109" i="4"/>
  <c r="D109" i="4"/>
  <c r="A109" i="4"/>
  <c r="G108" i="4"/>
  <c r="F108" i="4"/>
  <c r="D108" i="4"/>
  <c r="C108" i="4"/>
  <c r="B108" i="4"/>
  <c r="A108" i="4"/>
  <c r="F107" i="4"/>
  <c r="C107" i="4"/>
  <c r="B107" i="4"/>
  <c r="A107" i="4"/>
  <c r="H29" i="12"/>
  <c r="G29" i="12"/>
  <c r="D29" i="12"/>
  <c r="C29" i="12"/>
  <c r="B29" i="12"/>
  <c r="G28" i="12"/>
  <c r="E28" i="12"/>
  <c r="F28" i="12"/>
  <c r="H28" i="12" s="1"/>
  <c r="D28" i="12"/>
  <c r="C28" i="12"/>
  <c r="B28" i="12"/>
  <c r="E27" i="12"/>
  <c r="H27" i="12" s="1"/>
  <c r="C27" i="12"/>
  <c r="B27" i="12"/>
  <c r="F106" i="4"/>
  <c r="L13" i="13"/>
  <c r="G106" i="4"/>
  <c r="D106" i="4"/>
  <c r="C106" i="4"/>
  <c r="B106" i="4"/>
  <c r="A106" i="4"/>
  <c r="E26" i="12"/>
  <c r="C26" i="12"/>
  <c r="B26" i="12"/>
  <c r="G105" i="4"/>
  <c r="D105" i="4"/>
  <c r="C105" i="4"/>
  <c r="B105" i="4"/>
  <c r="A105" i="4"/>
  <c r="F25" i="12"/>
  <c r="H25" i="12" s="1"/>
  <c r="E25" i="12"/>
  <c r="B25" i="12"/>
  <c r="D25" i="12"/>
  <c r="C25" i="12"/>
  <c r="G104" i="4"/>
  <c r="D104" i="4"/>
  <c r="C104" i="4"/>
  <c r="B104" i="4"/>
  <c r="A104" i="4"/>
  <c r="E24" i="12"/>
  <c r="F24" i="12"/>
  <c r="D24" i="12"/>
  <c r="C24" i="12"/>
  <c r="B24" i="12"/>
  <c r="G103" i="4"/>
  <c r="D103" i="4"/>
  <c r="C103" i="4"/>
  <c r="B103" i="4"/>
  <c r="A103" i="4"/>
  <c r="H21" i="12"/>
  <c r="H22" i="12"/>
  <c r="H23" i="12"/>
  <c r="H26" i="12"/>
  <c r="F23" i="12"/>
  <c r="E23" i="12"/>
  <c r="C23" i="12"/>
  <c r="B23" i="12"/>
  <c r="G12" i="13"/>
  <c r="M12" i="13" s="1"/>
  <c r="E22" i="12"/>
  <c r="B102" i="4" s="1"/>
  <c r="G102" i="4"/>
  <c r="D102" i="4"/>
  <c r="C102" i="4"/>
  <c r="A102" i="4"/>
  <c r="G22" i="12"/>
  <c r="D22" i="12"/>
  <c r="C22" i="12"/>
  <c r="B22" i="12"/>
  <c r="G101" i="4"/>
  <c r="D101" i="4"/>
  <c r="C101" i="4"/>
  <c r="B101" i="4"/>
  <c r="A101" i="4"/>
  <c r="G21" i="12"/>
  <c r="F21" i="12"/>
  <c r="E21" i="12"/>
  <c r="D21" i="12"/>
  <c r="C21" i="12"/>
  <c r="B21" i="12"/>
  <c r="C100" i="4"/>
  <c r="B100" i="4"/>
  <c r="A100" i="4"/>
  <c r="H20" i="12"/>
  <c r="H19" i="12"/>
  <c r="F20" i="12"/>
  <c r="E20" i="12"/>
  <c r="C20" i="12"/>
  <c r="B20" i="12"/>
  <c r="B99" i="4"/>
  <c r="G99" i="4"/>
  <c r="D99" i="4"/>
  <c r="C99" i="4"/>
  <c r="A99" i="4"/>
  <c r="F19" i="12"/>
  <c r="E19" i="12"/>
  <c r="D19" i="12"/>
  <c r="C19" i="12"/>
  <c r="B19" i="12"/>
  <c r="F98" i="4"/>
  <c r="E98" i="4"/>
  <c r="B98" i="4"/>
  <c r="D98" i="4"/>
  <c r="G98" i="4"/>
  <c r="C98" i="4"/>
  <c r="A98" i="4"/>
  <c r="G18" i="12"/>
  <c r="F18" i="12"/>
  <c r="E18" i="12"/>
  <c r="C18" i="12"/>
  <c r="B18" i="12"/>
  <c r="F17" i="12"/>
  <c r="E17" i="12"/>
  <c r="G9" i="13"/>
  <c r="G97" i="4" s="1"/>
  <c r="F97" i="4"/>
  <c r="E97" i="4"/>
  <c r="C97" i="4"/>
  <c r="B97" i="4"/>
  <c r="A97" i="4"/>
  <c r="C17" i="12"/>
  <c r="B17" i="12"/>
  <c r="B95" i="4"/>
  <c r="B96" i="4"/>
  <c r="K5" i="17" l="1"/>
  <c r="E145" i="4" s="1"/>
  <c r="K190" i="17"/>
  <c r="H145" i="4"/>
  <c r="H4" i="18"/>
  <c r="K5" i="18"/>
  <c r="K7" i="18" s="1"/>
  <c r="M89" i="17"/>
  <c r="H144" i="4"/>
  <c r="H143" i="4"/>
  <c r="H142" i="4"/>
  <c r="E141" i="4"/>
  <c r="H141" i="4" s="1"/>
  <c r="E133" i="4"/>
  <c r="H133" i="4" s="1"/>
  <c r="H140" i="4"/>
  <c r="H139" i="4"/>
  <c r="M19" i="14"/>
  <c r="H137" i="4"/>
  <c r="H138" i="4"/>
  <c r="H136" i="4"/>
  <c r="H135" i="4"/>
  <c r="H134" i="4"/>
  <c r="F131" i="4"/>
  <c r="H132" i="4"/>
  <c r="H129" i="4"/>
  <c r="H130" i="4"/>
  <c r="H131" i="4"/>
  <c r="H128" i="4"/>
  <c r="H125" i="4"/>
  <c r="H127" i="4"/>
  <c r="H126" i="4"/>
  <c r="H122" i="4"/>
  <c r="H15" i="15"/>
  <c r="H124" i="4"/>
  <c r="H123" i="4"/>
  <c r="G119" i="4"/>
  <c r="H119" i="4"/>
  <c r="H120" i="4"/>
  <c r="H121" i="4"/>
  <c r="H117" i="4"/>
  <c r="H9" i="15"/>
  <c r="J11" i="15"/>
  <c r="H118" i="4"/>
  <c r="H116" i="4"/>
  <c r="H115" i="4"/>
  <c r="H6" i="15"/>
  <c r="K11" i="15"/>
  <c r="H112" i="4"/>
  <c r="H114" i="4"/>
  <c r="K163" i="14"/>
  <c r="K7" i="15"/>
  <c r="H4" i="15"/>
  <c r="M63" i="14"/>
  <c r="H113" i="4"/>
  <c r="H111" i="4"/>
  <c r="H30" i="12"/>
  <c r="H110" i="4"/>
  <c r="H105" i="4"/>
  <c r="H106" i="4"/>
  <c r="H108" i="4"/>
  <c r="H109" i="4"/>
  <c r="H107" i="4"/>
  <c r="G100" i="4"/>
  <c r="H100" i="4"/>
  <c r="H102" i="4"/>
  <c r="H103" i="4"/>
  <c r="H104" i="4"/>
  <c r="H101" i="4"/>
  <c r="H24" i="12"/>
  <c r="H99" i="4"/>
  <c r="H98" i="4"/>
  <c r="M9" i="13"/>
  <c r="H97" i="4"/>
  <c r="C96" i="4"/>
  <c r="A96" i="4"/>
  <c r="L8" i="13"/>
  <c r="L7" i="13"/>
  <c r="G6" i="13"/>
  <c r="K6" i="13" s="1"/>
  <c r="E96" i="4" s="1"/>
  <c r="G5" i="13"/>
  <c r="K5" i="13" s="1"/>
  <c r="F16" i="12"/>
  <c r="E16" i="12"/>
  <c r="C16" i="12"/>
  <c r="B16" i="12"/>
  <c r="C95" i="4"/>
  <c r="H95" i="4" s="1"/>
  <c r="A95" i="4"/>
  <c r="G15" i="12"/>
  <c r="F15" i="12"/>
  <c r="E15" i="12"/>
  <c r="D15" i="12"/>
  <c r="C15" i="12"/>
  <c r="B15" i="12"/>
  <c r="C94" i="4"/>
  <c r="B94" i="4"/>
  <c r="A94" i="4"/>
  <c r="G14" i="12"/>
  <c r="F14" i="12"/>
  <c r="E14" i="12"/>
  <c r="H14" i="12" s="1"/>
  <c r="D14" i="12"/>
  <c r="C14" i="12"/>
  <c r="B14" i="12"/>
  <c r="C93" i="4"/>
  <c r="B93" i="4"/>
  <c r="A93" i="4"/>
  <c r="G13" i="12"/>
  <c r="F13" i="12"/>
  <c r="E13" i="12"/>
  <c r="D13" i="12"/>
  <c r="C13" i="12"/>
  <c r="B13" i="12"/>
  <c r="C92" i="4"/>
  <c r="B92" i="4"/>
  <c r="A92" i="4"/>
  <c r="E12" i="12"/>
  <c r="G12" i="12"/>
  <c r="F12" i="12"/>
  <c r="C12" i="12"/>
  <c r="B12" i="12"/>
  <c r="C91" i="4"/>
  <c r="B91" i="4"/>
  <c r="A91" i="4"/>
  <c r="G11" i="12"/>
  <c r="E11" i="12"/>
  <c r="C11" i="12"/>
  <c r="B11" i="12"/>
  <c r="C90" i="4"/>
  <c r="B90" i="4"/>
  <c r="A90" i="4"/>
  <c r="H10" i="12"/>
  <c r="G10" i="12"/>
  <c r="F10" i="12"/>
  <c r="E10" i="12"/>
  <c r="D10" i="12"/>
  <c r="C10" i="12"/>
  <c r="B10" i="12"/>
  <c r="C89" i="4"/>
  <c r="B89" i="4"/>
  <c r="A89" i="4"/>
  <c r="F9" i="12"/>
  <c r="E9" i="12"/>
  <c r="C9" i="12"/>
  <c r="B9" i="12"/>
  <c r="C88" i="4"/>
  <c r="B88" i="4"/>
  <c r="A88" i="4"/>
  <c r="G8" i="12"/>
  <c r="F8" i="12"/>
  <c r="E8" i="12"/>
  <c r="H8" i="12" s="1"/>
  <c r="D8" i="12"/>
  <c r="C8" i="12"/>
  <c r="B8" i="12"/>
  <c r="C87" i="4"/>
  <c r="B87" i="4"/>
  <c r="A87" i="4"/>
  <c r="G7" i="12"/>
  <c r="F7" i="12"/>
  <c r="H7" i="12" s="1"/>
  <c r="E7" i="12"/>
  <c r="C7" i="12"/>
  <c r="B7" i="12"/>
  <c r="J11" i="12" s="1"/>
  <c r="M4" i="13"/>
  <c r="G86" i="4" s="1"/>
  <c r="G79" i="4"/>
  <c r="G34" i="7"/>
  <c r="C86" i="4"/>
  <c r="B86" i="4"/>
  <c r="A86" i="4"/>
  <c r="E6" i="12"/>
  <c r="C6" i="12"/>
  <c r="C85" i="4"/>
  <c r="B85" i="4"/>
  <c r="A85" i="4"/>
  <c r="H5" i="12"/>
  <c r="H6" i="12"/>
  <c r="H9" i="12"/>
  <c r="H11" i="12"/>
  <c r="H12" i="12"/>
  <c r="H16" i="12"/>
  <c r="H17" i="12"/>
  <c r="H18" i="12"/>
  <c r="G5" i="12"/>
  <c r="F5" i="12"/>
  <c r="E5" i="12"/>
  <c r="C5" i="12"/>
  <c r="B5" i="12"/>
  <c r="J6" i="2"/>
  <c r="J6" i="5"/>
  <c r="K7" i="10"/>
  <c r="C84" i="4"/>
  <c r="B84" i="4"/>
  <c r="A84" i="4"/>
  <c r="H4" i="12"/>
  <c r="F4" i="12"/>
  <c r="E4" i="12"/>
  <c r="D4" i="12"/>
  <c r="C4" i="12"/>
  <c r="B4" i="12"/>
  <c r="G116" i="13"/>
  <c r="M116" i="13" s="1"/>
  <c r="G115" i="13"/>
  <c r="K115" i="13" s="1"/>
  <c r="G114" i="13"/>
  <c r="G113" i="13"/>
  <c r="G112" i="13"/>
  <c r="K112" i="13" s="1"/>
  <c r="L110" i="13"/>
  <c r="G109" i="13"/>
  <c r="M109" i="13" s="1"/>
  <c r="G108" i="13"/>
  <c r="K108" i="13" s="1"/>
  <c r="G106" i="13"/>
  <c r="L107" i="13" s="1"/>
  <c r="G105" i="13"/>
  <c r="K105" i="13" s="1"/>
  <c r="L104" i="13"/>
  <c r="K102" i="13"/>
  <c r="G101" i="13"/>
  <c r="K101" i="13" s="1"/>
  <c r="L100" i="13"/>
  <c r="K99" i="13"/>
  <c r="L98" i="13"/>
  <c r="G97" i="13"/>
  <c r="L97" i="13" s="1"/>
  <c r="K96" i="13"/>
  <c r="K93" i="13"/>
  <c r="L92" i="13"/>
  <c r="L91" i="13"/>
  <c r="G90" i="13"/>
  <c r="K90" i="13" s="1"/>
  <c r="K89" i="13"/>
  <c r="I148" i="13"/>
  <c r="H148" i="13"/>
  <c r="K6" i="12"/>
  <c r="K4" i="12"/>
  <c r="F83" i="4"/>
  <c r="E83" i="4"/>
  <c r="E82" i="4"/>
  <c r="F33" i="10"/>
  <c r="G33" i="10"/>
  <c r="C83" i="4"/>
  <c r="E33" i="10"/>
  <c r="B83" i="4" s="1"/>
  <c r="C33" i="10"/>
  <c r="B33" i="10"/>
  <c r="M34" i="7"/>
  <c r="A83" i="4"/>
  <c r="F82" i="4"/>
  <c r="C82" i="4"/>
  <c r="B82" i="4"/>
  <c r="A82" i="4"/>
  <c r="K6" i="10"/>
  <c r="K5" i="10"/>
  <c r="K4" i="10"/>
  <c r="K11" i="10"/>
  <c r="J11" i="10"/>
  <c r="C31" i="10"/>
  <c r="K33" i="7"/>
  <c r="G33" i="7"/>
  <c r="F31" i="10"/>
  <c r="E31" i="10"/>
  <c r="B81" i="4" s="1"/>
  <c r="G81" i="4"/>
  <c r="F81" i="4"/>
  <c r="E81" i="4"/>
  <c r="C81" i="4"/>
  <c r="A81" i="4"/>
  <c r="D31" i="10"/>
  <c r="B31" i="10"/>
  <c r="F30" i="10"/>
  <c r="G80" i="4"/>
  <c r="F80" i="4"/>
  <c r="E80" i="4"/>
  <c r="C80" i="4"/>
  <c r="B80" i="4"/>
  <c r="A80" i="4"/>
  <c r="A79" i="4"/>
  <c r="E30" i="10"/>
  <c r="D30" i="10"/>
  <c r="C30" i="10"/>
  <c r="B30" i="10"/>
  <c r="G32" i="7"/>
  <c r="G31" i="7"/>
  <c r="K32" i="7" s="1"/>
  <c r="E28" i="10"/>
  <c r="G78" i="4"/>
  <c r="F78" i="4"/>
  <c r="E78" i="4"/>
  <c r="C78" i="4"/>
  <c r="B78" i="4"/>
  <c r="A78" i="4"/>
  <c r="F28" i="10"/>
  <c r="C28" i="10"/>
  <c r="B28" i="10"/>
  <c r="G30" i="7"/>
  <c r="K30" i="7" s="1"/>
  <c r="E77" i="4" s="1"/>
  <c r="G77" i="4"/>
  <c r="F77" i="4"/>
  <c r="C77" i="4"/>
  <c r="B77" i="4"/>
  <c r="A77" i="4"/>
  <c r="F27" i="10"/>
  <c r="E27" i="10"/>
  <c r="C27" i="10"/>
  <c r="B27" i="10"/>
  <c r="G76" i="4"/>
  <c r="F76" i="4"/>
  <c r="E76" i="4"/>
  <c r="C76" i="4"/>
  <c r="B76" i="4"/>
  <c r="A76" i="4"/>
  <c r="F26" i="10"/>
  <c r="E26" i="10"/>
  <c r="D26" i="10"/>
  <c r="C26" i="10"/>
  <c r="B26" i="10"/>
  <c r="E75" i="4"/>
  <c r="G75" i="4"/>
  <c r="C75" i="4"/>
  <c r="B75" i="4"/>
  <c r="A75" i="4"/>
  <c r="L28" i="7"/>
  <c r="F75" i="4" s="1"/>
  <c r="D72" i="4"/>
  <c r="G74" i="4"/>
  <c r="C74" i="4"/>
  <c r="B74" i="4"/>
  <c r="A74" i="4"/>
  <c r="G24" i="10"/>
  <c r="F24" i="10"/>
  <c r="E24" i="10"/>
  <c r="C24" i="10"/>
  <c r="B24" i="10"/>
  <c r="G73" i="4"/>
  <c r="F73" i="4"/>
  <c r="C73" i="4"/>
  <c r="B73" i="4"/>
  <c r="A73" i="4"/>
  <c r="G23" i="10"/>
  <c r="F23" i="10"/>
  <c r="E23" i="10"/>
  <c r="C23" i="10"/>
  <c r="B23" i="10"/>
  <c r="G27" i="7"/>
  <c r="M27" i="7" s="1"/>
  <c r="G72" i="4" s="1"/>
  <c r="G26" i="7"/>
  <c r="K26" i="7" s="1"/>
  <c r="F72" i="4"/>
  <c r="C72" i="4"/>
  <c r="B72" i="4"/>
  <c r="A72" i="4"/>
  <c r="G22" i="10"/>
  <c r="F22" i="10"/>
  <c r="E22" i="10"/>
  <c r="C22" i="10"/>
  <c r="B22" i="10"/>
  <c r="K4" i="4" l="1"/>
  <c r="F96" i="4"/>
  <c r="K114" i="13"/>
  <c r="H96" i="4"/>
  <c r="H92" i="4"/>
  <c r="H94" i="4"/>
  <c r="H15" i="12"/>
  <c r="H93" i="4"/>
  <c r="H13" i="12"/>
  <c r="H91" i="4"/>
  <c r="H89" i="4"/>
  <c r="H90" i="4"/>
  <c r="H88" i="4"/>
  <c r="H85" i="4"/>
  <c r="H87" i="4"/>
  <c r="H86" i="4"/>
  <c r="K11" i="12"/>
  <c r="K5" i="12"/>
  <c r="K7" i="12" s="1"/>
  <c r="H82" i="4"/>
  <c r="H83" i="4"/>
  <c r="H81" i="4"/>
  <c r="H80" i="4"/>
  <c r="H78" i="4"/>
  <c r="H77" i="4"/>
  <c r="H76" i="4"/>
  <c r="H75" i="4"/>
  <c r="H73" i="4"/>
  <c r="H72" i="4"/>
  <c r="C71" i="4"/>
  <c r="B71" i="4"/>
  <c r="A71" i="4"/>
  <c r="G24" i="7"/>
  <c r="L25" i="7" s="1"/>
  <c r="F74" i="4" s="1"/>
  <c r="H74" i="4" s="1"/>
  <c r="G23" i="7"/>
  <c r="K23" i="7" s="1"/>
  <c r="E71" i="4" s="1"/>
  <c r="L22" i="7"/>
  <c r="F21" i="10"/>
  <c r="E21" i="10"/>
  <c r="C21" i="10"/>
  <c r="B21" i="10"/>
  <c r="F70" i="4"/>
  <c r="E20" i="10"/>
  <c r="B70" i="4" s="1"/>
  <c r="C20" i="10"/>
  <c r="B20" i="10"/>
  <c r="C70" i="4"/>
  <c r="A70" i="4"/>
  <c r="B66" i="4"/>
  <c r="B68" i="4"/>
  <c r="B69" i="4"/>
  <c r="F19" i="10"/>
  <c r="E19" i="10"/>
  <c r="C19" i="10"/>
  <c r="B19" i="10"/>
  <c r="F71" i="4" l="1"/>
  <c r="H71" i="4" s="1"/>
  <c r="H70" i="4"/>
  <c r="C69" i="4"/>
  <c r="A69" i="4"/>
  <c r="K20" i="7"/>
  <c r="G19" i="7"/>
  <c r="K19" i="7" s="1"/>
  <c r="L18" i="7"/>
  <c r="F69" i="4" s="1"/>
  <c r="K17" i="7"/>
  <c r="L16" i="7"/>
  <c r="F68" i="4" s="1"/>
  <c r="B67" i="4"/>
  <c r="C68" i="4"/>
  <c r="A68" i="4"/>
  <c r="F18" i="10"/>
  <c r="H18" i="10" s="1"/>
  <c r="E18" i="10"/>
  <c r="C18" i="10"/>
  <c r="B18" i="10"/>
  <c r="E17" i="10"/>
  <c r="E67" i="4"/>
  <c r="C67" i="4"/>
  <c r="A67" i="4"/>
  <c r="G17" i="10"/>
  <c r="F17" i="10"/>
  <c r="C17" i="10"/>
  <c r="B17" i="10"/>
  <c r="K14" i="7"/>
  <c r="E66" i="4" s="1"/>
  <c r="G15" i="7"/>
  <c r="L15" i="7" s="1"/>
  <c r="F66" i="4" s="1"/>
  <c r="G16" i="10"/>
  <c r="F16" i="10"/>
  <c r="C66" i="4" s="1"/>
  <c r="E16" i="10"/>
  <c r="D16" i="10"/>
  <c r="C16" i="10"/>
  <c r="B16" i="10"/>
  <c r="A66" i="4"/>
  <c r="C65" i="4"/>
  <c r="B65" i="4"/>
  <c r="A65" i="4"/>
  <c r="K11" i="7"/>
  <c r="E65" i="4" s="1"/>
  <c r="F15" i="10"/>
  <c r="E15" i="10"/>
  <c r="H15" i="10" s="1"/>
  <c r="D15" i="10"/>
  <c r="C15" i="10"/>
  <c r="B15" i="10"/>
  <c r="L10" i="7"/>
  <c r="L9" i="7"/>
  <c r="C64" i="4"/>
  <c r="B64" i="4"/>
  <c r="A64" i="4"/>
  <c r="G14" i="10"/>
  <c r="F14" i="10"/>
  <c r="E14" i="10"/>
  <c r="C14" i="10"/>
  <c r="B14" i="10"/>
  <c r="C13" i="10"/>
  <c r="B13" i="10"/>
  <c r="B12" i="10"/>
  <c r="A63" i="4"/>
  <c r="G8" i="7"/>
  <c r="K8" i="7" s="1"/>
  <c r="E63" i="4" s="1"/>
  <c r="F63" i="4"/>
  <c r="C63" i="4"/>
  <c r="B63" i="4"/>
  <c r="H11" i="10"/>
  <c r="H12" i="10"/>
  <c r="H13" i="10"/>
  <c r="H14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G13" i="10"/>
  <c r="F13" i="10"/>
  <c r="E13" i="10"/>
  <c r="F62" i="4"/>
  <c r="C62" i="4"/>
  <c r="B62" i="4"/>
  <c r="A62" i="4"/>
  <c r="E12" i="10"/>
  <c r="C12" i="10"/>
  <c r="E11" i="10"/>
  <c r="B61" i="4" s="1"/>
  <c r="K7" i="7"/>
  <c r="F61" i="4"/>
  <c r="C61" i="4"/>
  <c r="A61" i="4"/>
  <c r="F11" i="10"/>
  <c r="C11" i="10"/>
  <c r="B11" i="10"/>
  <c r="E60" i="4"/>
  <c r="F60" i="4"/>
  <c r="C60" i="4"/>
  <c r="B60" i="4"/>
  <c r="A60" i="4"/>
  <c r="E10" i="10"/>
  <c r="H10" i="10" s="1"/>
  <c r="G10" i="10"/>
  <c r="F10" i="10"/>
  <c r="D10" i="10"/>
  <c r="C10" i="10"/>
  <c r="B10" i="10"/>
  <c r="E59" i="4"/>
  <c r="F59" i="4"/>
  <c r="C59" i="4"/>
  <c r="B59" i="4"/>
  <c r="A59" i="4"/>
  <c r="G9" i="10"/>
  <c r="F9" i="10"/>
  <c r="E9" i="10"/>
  <c r="D9" i="10"/>
  <c r="C9" i="10"/>
  <c r="B9" i="10"/>
  <c r="G8" i="10"/>
  <c r="F58" i="4"/>
  <c r="E58" i="4"/>
  <c r="B58" i="4"/>
  <c r="A58" i="4"/>
  <c r="F8" i="10"/>
  <c r="C58" i="4" s="1"/>
  <c r="E8" i="10"/>
  <c r="C8" i="10"/>
  <c r="B8" i="10"/>
  <c r="E6" i="10"/>
  <c r="H6" i="10" s="1"/>
  <c r="F57" i="4"/>
  <c r="E57" i="4"/>
  <c r="C57" i="4"/>
  <c r="A57" i="4"/>
  <c r="E7" i="10"/>
  <c r="B57" i="4" s="1"/>
  <c r="C7" i="10"/>
  <c r="B7" i="10"/>
  <c r="F56" i="4"/>
  <c r="E56" i="4"/>
  <c r="B56" i="4"/>
  <c r="A56" i="4"/>
  <c r="F6" i="10"/>
  <c r="C56" i="4" s="1"/>
  <c r="C6" i="10"/>
  <c r="B6" i="10"/>
  <c r="F55" i="4"/>
  <c r="E55" i="4"/>
  <c r="A55" i="4"/>
  <c r="H7" i="10"/>
  <c r="F5" i="10"/>
  <c r="C55" i="4" s="1"/>
  <c r="E5" i="10"/>
  <c r="B55" i="4" s="1"/>
  <c r="C5" i="10"/>
  <c r="B5" i="10"/>
  <c r="F51" i="4"/>
  <c r="H66" i="4" l="1"/>
  <c r="E69" i="4"/>
  <c r="H69" i="4" s="1"/>
  <c r="H68" i="4"/>
  <c r="H67" i="4"/>
  <c r="H17" i="10"/>
  <c r="H16" i="10"/>
  <c r="H65" i="4"/>
  <c r="F64" i="4"/>
  <c r="H64" i="4" s="1"/>
  <c r="H63" i="4"/>
  <c r="H62" i="4"/>
  <c r="H61" i="4"/>
  <c r="H60" i="4"/>
  <c r="H59" i="4"/>
  <c r="H9" i="10"/>
  <c r="H57" i="4"/>
  <c r="H5" i="10"/>
  <c r="H56" i="4"/>
  <c r="H58" i="4"/>
  <c r="H8" i="10"/>
  <c r="H55" i="4"/>
  <c r="C54" i="4"/>
  <c r="A54" i="4"/>
  <c r="F54" i="4"/>
  <c r="F4" i="10"/>
  <c r="E4" i="10"/>
  <c r="B54" i="4" s="1"/>
  <c r="C4" i="10"/>
  <c r="B4" i="10"/>
  <c r="L35" i="6"/>
  <c r="K99" i="7"/>
  <c r="J99" i="7"/>
  <c r="I99" i="7"/>
  <c r="I102" i="7" s="1"/>
  <c r="H94" i="7"/>
  <c r="H99" i="7" s="1"/>
  <c r="H102" i="7" s="1"/>
  <c r="G89" i="7"/>
  <c r="G88" i="7"/>
  <c r="G87" i="7"/>
  <c r="G86" i="7"/>
  <c r="G84" i="7"/>
  <c r="G82" i="7"/>
  <c r="G81" i="7"/>
  <c r="G73" i="7"/>
  <c r="G72" i="7"/>
  <c r="L99" i="7"/>
  <c r="F53" i="4"/>
  <c r="E53" i="4"/>
  <c r="C53" i="4"/>
  <c r="B53" i="4"/>
  <c r="A53" i="4"/>
  <c r="F34" i="5"/>
  <c r="E34" i="5"/>
  <c r="C34" i="5"/>
  <c r="B34" i="5"/>
  <c r="F52" i="4"/>
  <c r="E52" i="4"/>
  <c r="C52" i="4"/>
  <c r="B52" i="4"/>
  <c r="A52" i="4"/>
  <c r="F33" i="5"/>
  <c r="E33" i="5"/>
  <c r="D33" i="5"/>
  <c r="C33" i="5"/>
  <c r="B33" i="5"/>
  <c r="E51" i="4"/>
  <c r="K34" i="6"/>
  <c r="A51" i="4"/>
  <c r="F32" i="5"/>
  <c r="C51" i="4" s="1"/>
  <c r="E32" i="5"/>
  <c r="B51" i="4" s="1"/>
  <c r="C32" i="5"/>
  <c r="B32" i="5"/>
  <c r="F50" i="4"/>
  <c r="A50" i="4"/>
  <c r="F31" i="5"/>
  <c r="C50" i="4" s="1"/>
  <c r="E31" i="5"/>
  <c r="B50" i="4" s="1"/>
  <c r="C31" i="5"/>
  <c r="B31" i="5"/>
  <c r="F49" i="4"/>
  <c r="A49" i="4"/>
  <c r="E47" i="4"/>
  <c r="G99" i="7" l="1"/>
  <c r="H4" i="10"/>
  <c r="H54" i="4"/>
  <c r="H53" i="4"/>
  <c r="H52" i="4"/>
  <c r="H50" i="4"/>
  <c r="H51" i="4"/>
  <c r="E46" i="4"/>
  <c r="G33" i="6"/>
  <c r="G31" i="6"/>
  <c r="K32" i="6" s="1"/>
  <c r="F30" i="5"/>
  <c r="C49" i="4" s="1"/>
  <c r="E30" i="5"/>
  <c r="B49" i="4" s="1"/>
  <c r="C30" i="5"/>
  <c r="B30" i="5"/>
  <c r="F48" i="4"/>
  <c r="A48" i="4"/>
  <c r="F29" i="5"/>
  <c r="C48" i="4" s="1"/>
  <c r="E29" i="5"/>
  <c r="B48" i="4" s="1"/>
  <c r="D29" i="5"/>
  <c r="C29" i="5"/>
  <c r="B29" i="5"/>
  <c r="E49" i="4" l="1"/>
  <c r="H49" i="4" s="1"/>
  <c r="H48" i="4"/>
  <c r="A47" i="4"/>
  <c r="F47" i="4"/>
  <c r="B47" i="4"/>
  <c r="F28" i="5"/>
  <c r="C47" i="4" s="1"/>
  <c r="B28" i="5"/>
  <c r="H47" i="4" l="1"/>
  <c r="F46" i="4"/>
  <c r="A46" i="4"/>
  <c r="F27" i="5"/>
  <c r="C46" i="4" s="1"/>
  <c r="E27" i="5"/>
  <c r="B46" i="4" s="1"/>
  <c r="D27" i="5"/>
  <c r="C27" i="5"/>
  <c r="B27" i="5"/>
  <c r="H46" i="4" l="1"/>
  <c r="F45" i="4"/>
  <c r="E45" i="4"/>
  <c r="A45" i="4"/>
  <c r="F26" i="5"/>
  <c r="C45" i="4" s="1"/>
  <c r="E26" i="5"/>
  <c r="B45" i="4" s="1"/>
  <c r="D26" i="5"/>
  <c r="C26" i="5"/>
  <c r="B26" i="5"/>
  <c r="H45" i="4" l="1"/>
  <c r="F44" i="4"/>
  <c r="E44" i="4"/>
  <c r="A44" i="4"/>
  <c r="F25" i="5"/>
  <c r="C44" i="4" s="1"/>
  <c r="E25" i="5"/>
  <c r="B44" i="4" s="1"/>
  <c r="C25" i="5"/>
  <c r="B25" i="5"/>
  <c r="H44" i="4" l="1"/>
  <c r="F43" i="4"/>
  <c r="C43" i="4"/>
  <c r="A43" i="4"/>
  <c r="G25" i="6"/>
  <c r="E43" i="4" s="1"/>
  <c r="E24" i="5"/>
  <c r="B43" i="4" s="1"/>
  <c r="C24" i="5"/>
  <c r="B24" i="5"/>
  <c r="F42" i="4"/>
  <c r="E42" i="4"/>
  <c r="A42" i="4"/>
  <c r="F23" i="5"/>
  <c r="C42" i="4" s="1"/>
  <c r="E23" i="5"/>
  <c r="B42" i="4" s="1"/>
  <c r="C23" i="5"/>
  <c r="B23" i="5"/>
  <c r="H43" i="4" l="1"/>
  <c r="H42" i="4"/>
  <c r="E41" i="4"/>
  <c r="F41" i="4"/>
  <c r="A41" i="4"/>
  <c r="F22" i="5"/>
  <c r="C41" i="4" s="1"/>
  <c r="E22" i="5"/>
  <c r="B41" i="4" s="1"/>
  <c r="D22" i="5"/>
  <c r="C22" i="5"/>
  <c r="B22" i="5"/>
  <c r="H41" i="4" l="1"/>
  <c r="F40" i="4"/>
  <c r="E40" i="4"/>
  <c r="A40" i="4"/>
  <c r="F21" i="5"/>
  <c r="C40" i="4" s="1"/>
  <c r="E21" i="5"/>
  <c r="B40" i="4" s="1"/>
  <c r="C21" i="5"/>
  <c r="B21" i="5"/>
  <c r="E39" i="4"/>
  <c r="A39" i="4"/>
  <c r="E20" i="5"/>
  <c r="B39" i="4" s="1"/>
  <c r="F20" i="5"/>
  <c r="C39" i="4" s="1"/>
  <c r="C20" i="5"/>
  <c r="B20" i="5"/>
  <c r="G20" i="5" l="1"/>
  <c r="H40" i="4"/>
  <c r="H39" i="4"/>
  <c r="E38" i="4"/>
  <c r="A38" i="4"/>
  <c r="E19" i="5"/>
  <c r="B38" i="4" s="1"/>
  <c r="F19" i="5"/>
  <c r="C38" i="4" s="1"/>
  <c r="C19" i="5"/>
  <c r="B19" i="5"/>
  <c r="H38" i="4" l="1"/>
  <c r="F37" i="4"/>
  <c r="E37" i="4"/>
  <c r="G18" i="6"/>
  <c r="G19" i="6"/>
  <c r="A37" i="4"/>
  <c r="F18" i="5"/>
  <c r="C37" i="4" s="1"/>
  <c r="E18" i="5"/>
  <c r="B37" i="4" s="1"/>
  <c r="D18" i="5"/>
  <c r="C18" i="5"/>
  <c r="B18" i="5"/>
  <c r="H37" i="4" l="1"/>
  <c r="F17" i="5"/>
  <c r="E17" i="5"/>
  <c r="C17" i="5"/>
  <c r="B17" i="5"/>
  <c r="B36" i="4" l="1"/>
  <c r="C36" i="4"/>
  <c r="A36" i="4"/>
  <c r="G14" i="6"/>
  <c r="G12" i="6"/>
  <c r="K15" i="6" l="1"/>
  <c r="E36" i="4" s="1"/>
  <c r="H36" i="4" s="1"/>
  <c r="F35" i="4"/>
  <c r="A35" i="4"/>
  <c r="F16" i="5"/>
  <c r="C35" i="4" s="1"/>
  <c r="E16" i="5"/>
  <c r="B35" i="4" s="1"/>
  <c r="C16" i="5"/>
  <c r="B16" i="5"/>
  <c r="H35" i="4" l="1"/>
  <c r="F34" i="4"/>
  <c r="C34" i="4"/>
  <c r="A34" i="4"/>
  <c r="E15" i="5"/>
  <c r="B34" i="4" s="1"/>
  <c r="C15" i="5"/>
  <c r="B15" i="5"/>
  <c r="H34" i="4" l="1"/>
  <c r="L11" i="6"/>
  <c r="F33" i="4" s="1"/>
  <c r="A24" i="4"/>
  <c r="A25" i="4"/>
  <c r="A26" i="4"/>
  <c r="A27" i="4"/>
  <c r="A28" i="4"/>
  <c r="A29" i="4"/>
  <c r="A30" i="4"/>
  <c r="A31" i="4"/>
  <c r="A32" i="4"/>
  <c r="A33" i="4"/>
  <c r="A23" i="4"/>
  <c r="F14" i="5"/>
  <c r="E14" i="5"/>
  <c r="C14" i="5"/>
  <c r="B14" i="5"/>
  <c r="C33" i="4"/>
  <c r="B33" i="4"/>
  <c r="H33" i="4" l="1"/>
  <c r="E13" i="5"/>
  <c r="F13" i="5"/>
  <c r="B32" i="4"/>
  <c r="D13" i="5"/>
  <c r="C13" i="5"/>
  <c r="B13" i="5"/>
  <c r="C32" i="4"/>
  <c r="H32" i="4" l="1"/>
  <c r="F12" i="5"/>
  <c r="C31" i="4" s="1"/>
  <c r="E12" i="5"/>
  <c r="D12" i="5"/>
  <c r="C12" i="5"/>
  <c r="B12" i="5"/>
  <c r="B31" i="4"/>
  <c r="H31" i="4" l="1"/>
  <c r="F11" i="5"/>
  <c r="E11" i="5"/>
  <c r="C30" i="4"/>
  <c r="B30" i="4"/>
  <c r="C11" i="5"/>
  <c r="B11" i="5"/>
  <c r="H30" i="4" l="1"/>
  <c r="B29" i="4"/>
  <c r="F10" i="5"/>
  <c r="C29" i="4" s="1"/>
  <c r="D10" i="5"/>
  <c r="B10" i="5"/>
  <c r="H29" i="4" l="1"/>
  <c r="F9" i="5"/>
  <c r="C28" i="4" s="1"/>
  <c r="E9" i="5"/>
  <c r="B28" i="4" s="1"/>
  <c r="C9" i="5"/>
  <c r="B9" i="5"/>
  <c r="E27" i="4"/>
  <c r="F8" i="5"/>
  <c r="E8" i="5"/>
  <c r="B27" i="4" s="1"/>
  <c r="C8" i="5"/>
  <c r="B8" i="5"/>
  <c r="G8" i="6"/>
  <c r="G7" i="6"/>
  <c r="G5" i="6"/>
  <c r="K6" i="6" s="1"/>
  <c r="F7" i="5"/>
  <c r="C26" i="4" s="1"/>
  <c r="E7" i="5"/>
  <c r="B26" i="4" s="1"/>
  <c r="C7" i="5"/>
  <c r="B7" i="5"/>
  <c r="F6" i="5"/>
  <c r="C25" i="4" s="1"/>
  <c r="E6" i="5"/>
  <c r="G7" i="5"/>
  <c r="G10" i="5"/>
  <c r="G11" i="5"/>
  <c r="G12" i="5"/>
  <c r="G13" i="5"/>
  <c r="G14" i="5"/>
  <c r="G15" i="5"/>
  <c r="G16" i="5"/>
  <c r="G17" i="5"/>
  <c r="G18" i="5"/>
  <c r="G19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D6" i="5"/>
  <c r="C6" i="5"/>
  <c r="B6" i="5"/>
  <c r="E24" i="4"/>
  <c r="F5" i="5"/>
  <c r="C24" i="4" s="1"/>
  <c r="E5" i="5"/>
  <c r="G5" i="5" s="1"/>
  <c r="C5" i="5"/>
  <c r="B5" i="5"/>
  <c r="C23" i="4"/>
  <c r="E23" i="4"/>
  <c r="E4" i="5"/>
  <c r="D4" i="5"/>
  <c r="C4" i="5"/>
  <c r="B4" i="5"/>
  <c r="L67" i="6"/>
  <c r="J67" i="6"/>
  <c r="I67" i="6"/>
  <c r="I70" i="6" s="1"/>
  <c r="H62" i="6"/>
  <c r="H67" i="6" s="1"/>
  <c r="H70" i="6" s="1"/>
  <c r="G57" i="6"/>
  <c r="G56" i="6"/>
  <c r="G55" i="6"/>
  <c r="G54" i="6"/>
  <c r="G52" i="6"/>
  <c r="G50" i="6"/>
  <c r="G49" i="6"/>
  <c r="G41" i="6"/>
  <c r="G40" i="6"/>
  <c r="J4" i="5"/>
  <c r="F22" i="4"/>
  <c r="E22" i="4"/>
  <c r="C22" i="4"/>
  <c r="F19" i="2"/>
  <c r="E19" i="2"/>
  <c r="B22" i="4" s="1"/>
  <c r="C19" i="2"/>
  <c r="B19" i="2"/>
  <c r="A22" i="4"/>
  <c r="E21" i="4"/>
  <c r="B21" i="4"/>
  <c r="A21" i="4"/>
  <c r="F18" i="2"/>
  <c r="C21" i="4" s="1"/>
  <c r="E18" i="2"/>
  <c r="C18" i="2"/>
  <c r="B18" i="2"/>
  <c r="F20" i="4"/>
  <c r="E20" i="4"/>
  <c r="C20" i="4"/>
  <c r="A20" i="4"/>
  <c r="E17" i="2"/>
  <c r="B20" i="4" s="1"/>
  <c r="C17" i="2"/>
  <c r="B17" i="2"/>
  <c r="F11" i="2"/>
  <c r="E16" i="2"/>
  <c r="B19" i="4" s="1"/>
  <c r="F15" i="2"/>
  <c r="F19" i="4"/>
  <c r="A19" i="4"/>
  <c r="F16" i="2"/>
  <c r="C19" i="4" s="1"/>
  <c r="C16" i="2"/>
  <c r="B16" i="2"/>
  <c r="J5" i="5" l="1"/>
  <c r="I9" i="5"/>
  <c r="G19" i="2"/>
  <c r="B23" i="4"/>
  <c r="H23" i="4" s="1"/>
  <c r="G4" i="5"/>
  <c r="B24" i="4"/>
  <c r="H24" i="4" s="1"/>
  <c r="G16" i="2"/>
  <c r="G17" i="2"/>
  <c r="G6" i="5"/>
  <c r="B25" i="4"/>
  <c r="H25" i="4" s="1"/>
  <c r="G8" i="5"/>
  <c r="C27" i="4"/>
  <c r="H27" i="4" s="1"/>
  <c r="H28" i="4"/>
  <c r="G9" i="5"/>
  <c r="J9" i="5"/>
  <c r="K9" i="6"/>
  <c r="E26" i="4" s="1"/>
  <c r="H26" i="4" s="1"/>
  <c r="K67" i="6"/>
  <c r="G67" i="6"/>
  <c r="H22" i="4"/>
  <c r="H20" i="4"/>
  <c r="G18" i="2"/>
  <c r="G32" i="3" l="1"/>
  <c r="K33" i="3" s="1"/>
  <c r="E19" i="4" s="1"/>
  <c r="H19" i="4" s="1"/>
  <c r="F18" i="4"/>
  <c r="C18" i="4"/>
  <c r="A18" i="4"/>
  <c r="E15" i="2"/>
  <c r="B18" i="4" s="1"/>
  <c r="G15" i="2"/>
  <c r="C15" i="2"/>
  <c r="B15" i="2"/>
  <c r="F17" i="4"/>
  <c r="B17" i="4"/>
  <c r="A17" i="4"/>
  <c r="F14" i="2"/>
  <c r="C17" i="4" s="1"/>
  <c r="E14" i="2"/>
  <c r="D14" i="2"/>
  <c r="C14" i="2"/>
  <c r="B14" i="2"/>
  <c r="E13" i="2"/>
  <c r="B16" i="4" s="1"/>
  <c r="D13" i="2"/>
  <c r="F16" i="4"/>
  <c r="A16" i="4"/>
  <c r="B13" i="2"/>
  <c r="G31" i="3"/>
  <c r="G30" i="3"/>
  <c r="G29" i="3"/>
  <c r="K29" i="3" s="1"/>
  <c r="F13" i="2"/>
  <c r="G13" i="2" s="1"/>
  <c r="C13" i="2"/>
  <c r="A15" i="4"/>
  <c r="E15" i="4"/>
  <c r="F15" i="4"/>
  <c r="F12" i="2"/>
  <c r="C15" i="4" s="1"/>
  <c r="E12" i="2"/>
  <c r="B15" i="4" s="1"/>
  <c r="C12" i="2"/>
  <c r="B12" i="2"/>
  <c r="F14" i="4"/>
  <c r="E14" i="4"/>
  <c r="C14" i="4"/>
  <c r="E11" i="2"/>
  <c r="D11" i="2"/>
  <c r="C11" i="2"/>
  <c r="B11" i="2"/>
  <c r="G16" i="3"/>
  <c r="E13" i="4"/>
  <c r="F12" i="4"/>
  <c r="F13" i="4"/>
  <c r="G27" i="3"/>
  <c r="F10" i="2"/>
  <c r="C13" i="4" s="1"/>
  <c r="E10" i="2"/>
  <c r="C10" i="2"/>
  <c r="B10" i="2"/>
  <c r="G24" i="3"/>
  <c r="E9" i="4"/>
  <c r="F9" i="4"/>
  <c r="F10" i="4"/>
  <c r="F11" i="4"/>
  <c r="E11" i="4"/>
  <c r="E10" i="4"/>
  <c r="E12" i="4"/>
  <c r="F8" i="2"/>
  <c r="C11" i="4" s="1"/>
  <c r="F7" i="2"/>
  <c r="E7" i="2"/>
  <c r="E9" i="2"/>
  <c r="G25" i="3"/>
  <c r="G15" i="3"/>
  <c r="H84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E8" i="4"/>
  <c r="B12" i="4"/>
  <c r="C9" i="2"/>
  <c r="F9" i="2"/>
  <c r="C12" i="4" s="1"/>
  <c r="B9" i="2"/>
  <c r="E8" i="2"/>
  <c r="B11" i="4" s="1"/>
  <c r="C8" i="2"/>
  <c r="B8" i="2"/>
  <c r="G8" i="2"/>
  <c r="F8" i="4"/>
  <c r="C8" i="4"/>
  <c r="C9" i="4"/>
  <c r="C10" i="4"/>
  <c r="B8" i="4"/>
  <c r="B9" i="4"/>
  <c r="B10" i="4"/>
  <c r="C7" i="4"/>
  <c r="B7" i="4"/>
  <c r="L42" i="3"/>
  <c r="I42" i="3"/>
  <c r="I45" i="3" s="1"/>
  <c r="H37" i="3"/>
  <c r="K18" i="3"/>
  <c r="G5" i="2"/>
  <c r="G6" i="2"/>
  <c r="G4" i="2"/>
  <c r="G7" i="2"/>
  <c r="C7" i="2"/>
  <c r="B7" i="2"/>
  <c r="C6" i="2"/>
  <c r="B6" i="2"/>
  <c r="C4" i="2"/>
  <c r="B4" i="2"/>
  <c r="J4" i="2" l="1"/>
  <c r="G9" i="2"/>
  <c r="G10" i="2"/>
  <c r="J5" i="2"/>
  <c r="K31" i="3"/>
  <c r="H18" i="4"/>
  <c r="G11" i="2"/>
  <c r="G14" i="2"/>
  <c r="B14" i="4"/>
  <c r="H14" i="4" s="1"/>
  <c r="C16" i="4"/>
  <c r="I9" i="2"/>
  <c r="B13" i="4"/>
  <c r="H17" i="4"/>
  <c r="K26" i="3"/>
  <c r="E16" i="4" s="1"/>
  <c r="H15" i="4"/>
  <c r="K17" i="3"/>
  <c r="F21" i="4" s="1"/>
  <c r="H21" i="4" s="1"/>
  <c r="G12" i="2"/>
  <c r="J9" i="2"/>
  <c r="H12" i="4"/>
  <c r="H11" i="4"/>
  <c r="H10" i="4"/>
  <c r="H8" i="4"/>
  <c r="H9" i="4"/>
  <c r="H7" i="4"/>
  <c r="G42" i="3"/>
  <c r="K2" i="4" l="1"/>
  <c r="K3" i="4"/>
  <c r="K231" i="4" s="1"/>
  <c r="H16" i="4"/>
  <c r="K42" i="3"/>
  <c r="H13" i="4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B4" i="1"/>
  <c r="B5" i="1" s="1"/>
  <c r="D3" i="1"/>
  <c r="K221" i="4" l="1"/>
  <c r="J12" i="4"/>
  <c r="J15" i="4" s="1"/>
  <c r="J17" i="4" s="1"/>
  <c r="K9" i="4"/>
  <c r="D5" i="1"/>
  <c r="B6" i="1"/>
  <c r="D4" i="1"/>
  <c r="K15" i="4" l="1"/>
  <c r="K16" i="4" s="1"/>
  <c r="D6" i="1"/>
  <c r="B7" i="1"/>
  <c r="D7" i="1" l="1"/>
  <c r="B8" i="1"/>
  <c r="D8" i="1" l="1"/>
  <c r="B9" i="1"/>
  <c r="B10" i="1" l="1"/>
  <c r="D9" i="1"/>
  <c r="D10" i="1" l="1"/>
  <c r="B11" i="1"/>
  <c r="B12" i="1" l="1"/>
  <c r="D11" i="1"/>
  <c r="B13" i="1" l="1"/>
  <c r="D12" i="1"/>
  <c r="B14" i="1" l="1"/>
  <c r="D13" i="1"/>
  <c r="B15" i="1" l="1"/>
  <c r="D14" i="1"/>
  <c r="B16" i="1" l="1"/>
  <c r="D15" i="1"/>
  <c r="B17" i="1" l="1"/>
  <c r="D16" i="1"/>
  <c r="B18" i="1" l="1"/>
  <c r="D17" i="1"/>
  <c r="B19" i="1" l="1"/>
  <c r="D18" i="1"/>
  <c r="B20" i="1" l="1"/>
  <c r="D19" i="1"/>
  <c r="B21" i="1" l="1"/>
  <c r="D20" i="1"/>
  <c r="B22" i="1" l="1"/>
  <c r="D21" i="1"/>
  <c r="B23" i="1" l="1"/>
  <c r="D22" i="1"/>
  <c r="B24" i="1" l="1"/>
  <c r="D23" i="1"/>
  <c r="J42" i="3"/>
  <c r="H42" i="3"/>
  <c r="B25" i="1" l="1"/>
  <c r="D24" i="1"/>
  <c r="H45" i="3"/>
  <c r="B26" i="1" l="1"/>
  <c r="D26" i="1" s="1"/>
  <c r="D25" i="1"/>
  <c r="K6" i="19"/>
  <c r="K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Mili Merlini</author>
    <author>Lara</author>
  </authors>
  <commentList>
    <comment ref="F21" authorId="0" shapeId="0" xr:uid="{00000000-0006-0000-0500-000001000000}">
      <text>
        <r>
          <rPr>
            <b/>
            <sz val="10"/>
            <color indexed="81"/>
            <rFont val="Tahoma"/>
            <family val="2"/>
          </rPr>
          <t xml:space="preserve">GASTOS INICIALES
TOTAL ERICA $125,343,98
TOTAL MATIAS $224,332,00
DETALLE:
ERICA
$17500 HERRAJES
$66900 PROMAR
$10143,98 ARCA
$16000 LUGONES
$6600 GARRAFA
$8200 BOLSA
MATIAS
$62400 CUBANITOS
$99900 CUBANITOS
$41032 DUCLE
$21000 GARRAPIÑADAS
</t>
        </r>
      </text>
    </comment>
    <comment ref="G21" authorId="0" shapeId="0" xr:uid="{1CBBED22-0ED5-40C5-A96A-48B450CF56A0}">
      <text>
        <r>
          <rPr>
            <b/>
            <sz val="10"/>
            <color indexed="81"/>
            <rFont val="Tahoma"/>
            <family val="2"/>
          </rPr>
          <t xml:space="preserve">GASTOS INICIALES
TOTAL ERICA $125,343,98
TOTAL MATIAS $224,332,00
DETALLE:
ERICA
$17500 HERRAJES
$66900 PROMAR
$10143,98 ARCA
$16000 LUGONES
$6600 GARRAFA
$8200 BOLSA
MATIAS
$62400 CUBANITOS
$99900 CUBANITOS
$41032 DUCLE
$21000 GARRAPIÑADAS
</t>
        </r>
      </text>
    </comment>
    <comment ref="D72" authorId="1" shapeId="0" xr:uid="{EE7B0945-4D95-4C54-95EE-364C445798ED}">
      <text>
        <r>
          <rPr>
            <b/>
            <sz val="9"/>
            <color indexed="81"/>
            <rFont val="Tahoma"/>
            <family val="2"/>
          </rPr>
          <t>Pago Semana
1-9-25 al 7-9-25
$</t>
        </r>
      </text>
    </comment>
    <comment ref="D79" authorId="1" shapeId="0" xr:uid="{A15C0B97-FBE2-4A5E-9E55-8B9F6D085A34}">
      <text>
        <r>
          <rPr>
            <b/>
            <sz val="9"/>
            <color indexed="81"/>
            <rFont val="Tahoma"/>
            <family val="2"/>
          </rPr>
          <t>Pago Semana
8-9-25 al 15-9-25</t>
        </r>
      </text>
    </comment>
    <comment ref="D82" authorId="1" shapeId="0" xr:uid="{6C5762C5-EC01-4F0A-92B5-5BA0C0178E0E}">
      <text>
        <r>
          <rPr>
            <b/>
            <sz val="9"/>
            <color indexed="81"/>
            <rFont val="Tahoma"/>
            <family val="2"/>
          </rPr>
          <t>Pago Semana
8-9-25 al 15-9-25</t>
        </r>
      </text>
    </comment>
    <comment ref="D86" authorId="1" shapeId="0" xr:uid="{E1960BA9-3AB2-45C7-9A71-A38274954C42}">
      <text>
        <r>
          <rPr>
            <b/>
            <sz val="9"/>
            <color indexed="81"/>
            <rFont val="Tahoma"/>
            <family val="2"/>
          </rPr>
          <t>Pago Semana
15-9-25 al 21-9-25</t>
        </r>
      </text>
    </comment>
    <comment ref="D97" authorId="1" shapeId="0" xr:uid="{7AFFA2FD-C2C3-42C1-865F-BCBED97A6423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98" authorId="1" shapeId="0" xr:uid="{BC4CF934-FFA8-4A3A-BA22-C70271891CCC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99" authorId="1" shapeId="0" xr:uid="{0562F0C1-4062-41A9-8995-F3A0CFB074C3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00" authorId="1" shapeId="0" xr:uid="{3E67B6DA-1D64-45F3-8A06-7F183AC8CA54}">
      <text>
        <r>
          <rPr>
            <b/>
            <sz val="9"/>
            <color indexed="81"/>
            <rFont val="Tahoma"/>
            <family val="2"/>
          </rPr>
          <t>Pago Semana
29-9-25 al 5-10-25</t>
        </r>
      </text>
    </comment>
    <comment ref="D101" authorId="1" shapeId="0" xr:uid="{68BD3ED1-E350-45B4-92C5-F76CFE8CE0F1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02" authorId="1" shapeId="0" xr:uid="{F6ADD7DA-5C38-4952-8C04-9B8DE3484F3D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03" authorId="1" shapeId="0" xr:uid="{B4A65992-2FAC-493A-9B2C-8A4C5EA3F3CE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04" authorId="1" shapeId="0" xr:uid="{C88EABD5-8C8D-407B-82EB-45B7C554ED4E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05" authorId="1" shapeId="0" xr:uid="{D7CDE8F8-C319-4115-B7F8-10A2A6DF03C0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06" authorId="1" shapeId="0" xr:uid="{E8D34C11-EA58-43D3-B8CC-17F280F1494A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07" authorId="1" shapeId="0" xr:uid="{812D48ED-485D-4905-845D-FBBE217D95B3}">
      <text>
        <r>
          <rPr>
            <b/>
            <sz val="9"/>
            <color indexed="81"/>
            <rFont val="Tahoma"/>
            <family val="2"/>
          </rPr>
          <t>Pago Semana
6-10-25 al 12-10-25</t>
        </r>
      </text>
    </comment>
    <comment ref="D108" authorId="1" shapeId="0" xr:uid="{0D9D820E-50F8-4427-8299-8852827C8340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09" authorId="1" shapeId="0" xr:uid="{9F6FECB2-29BC-48BE-99AF-D0B488AEC18D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10" authorId="1" shapeId="0" xr:uid="{7E59DAB9-9A91-4734-BB3C-F5468055FB47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11" authorId="1" shapeId="0" xr:uid="{59DFD950-AAF0-4E9F-89F7-2832C20249F6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12" authorId="1" shapeId="0" xr:uid="{1D3B6EA1-FFF9-451B-B9AD-764C56CED82A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13" authorId="1" shapeId="0" xr:uid="{BC712C52-88DF-473B-95CF-6C35A6D47153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14" authorId="1" shapeId="0" xr:uid="{0E2BC68B-4CA3-4235-AE20-04D12256BB53}">
      <text>
        <r>
          <rPr>
            <b/>
            <sz val="9"/>
            <color indexed="81"/>
            <rFont val="Tahoma"/>
            <family val="2"/>
          </rPr>
          <t>Pago Semana
22-9-25 al 28-9-25</t>
        </r>
      </text>
    </comment>
    <comment ref="D118" authorId="1" shapeId="0" xr:uid="{046F2533-6DE9-447C-B306-4613952DE2C9}">
      <text>
        <r>
          <rPr>
            <b/>
            <sz val="9"/>
            <color indexed="81"/>
            <rFont val="Tahoma"/>
            <family val="2"/>
          </rPr>
          <t>Pago Semana
13-10-25 al 19-10-25</t>
        </r>
      </text>
    </comment>
    <comment ref="D122" authorId="1" shapeId="0" xr:uid="{507CCA62-BA12-4708-9EC8-9E5B38B06C59}">
      <text>
        <r>
          <rPr>
            <b/>
            <sz val="9"/>
            <color indexed="81"/>
            <rFont val="Tahoma"/>
            <family val="2"/>
          </rPr>
          <t>Pago Semana
20-10-25 al 26-10-25</t>
        </r>
      </text>
    </comment>
    <comment ref="D123" authorId="1" shapeId="0" xr:uid="{6FC76454-F770-45FC-B011-BF31270B36BD}">
      <text>
        <r>
          <rPr>
            <b/>
            <sz val="9"/>
            <color indexed="81"/>
            <rFont val="Tahoma"/>
            <family val="2"/>
          </rPr>
          <t>Pago Semana
20-10-25 al 26-10-25</t>
        </r>
      </text>
    </comment>
  </commentList>
</comments>
</file>

<file path=xl/sharedStrings.xml><?xml version="1.0" encoding="utf-8"?>
<sst xmlns="http://schemas.openxmlformats.org/spreadsheetml/2006/main" count="3152" uniqueCount="221">
  <si>
    <t>CUBANITOS</t>
  </si>
  <si>
    <t>COMUNES</t>
  </si>
  <si>
    <t>BAÑADOS</t>
  </si>
  <si>
    <t>TOTAL</t>
  </si>
  <si>
    <t>EFECTIVO</t>
  </si>
  <si>
    <t>OTRO</t>
  </si>
  <si>
    <t>TRANSFERENCIA</t>
  </si>
  <si>
    <t>METODO DE PAGO</t>
  </si>
  <si>
    <t>DIA</t>
  </si>
  <si>
    <t xml:space="preserve">      MES:</t>
  </si>
  <si>
    <t>Tranferencia</t>
  </si>
  <si>
    <t>efectivo</t>
  </si>
  <si>
    <t>MES JULIO</t>
  </si>
  <si>
    <t>VENTAS $</t>
  </si>
  <si>
    <t>CONSUMO CUBANITOS</t>
  </si>
  <si>
    <r>
      <t>DETALLES GASTOS ENTREGADOS POR CONTRATISTA, FACTURAS "A"</t>
    </r>
    <r>
      <rPr>
        <b/>
        <sz val="10"/>
        <color indexed="10"/>
        <rFont val="Arial"/>
        <family val="2"/>
      </rPr>
      <t xml:space="preserve"> </t>
    </r>
  </si>
  <si>
    <t>FECHA</t>
  </si>
  <si>
    <t>ABONO</t>
  </si>
  <si>
    <t>RUBRO</t>
  </si>
  <si>
    <t>PROVEEDOR</t>
  </si>
  <si>
    <t xml:space="preserve">DESCRIPCIÓN </t>
  </si>
  <si>
    <t>$ c/IVA+Ing.Br</t>
  </si>
  <si>
    <t>IVA</t>
  </si>
  <si>
    <t>1/2IVA</t>
  </si>
  <si>
    <t>Perc.Ing.Bruto</t>
  </si>
  <si>
    <t>PAGOS</t>
  </si>
  <si>
    <t>CONTADOR</t>
  </si>
  <si>
    <t>INSERTAR FILAS ANTES QUE ESTA</t>
  </si>
  <si>
    <t>TOTAL FACTURAS</t>
  </si>
  <si>
    <t>M</t>
  </si>
  <si>
    <t>CUBANITO COMUN</t>
  </si>
  <si>
    <t>CUBANITO BAÑADO</t>
  </si>
  <si>
    <t>DULCE DE LECHE</t>
  </si>
  <si>
    <t>MAXI</t>
  </si>
  <si>
    <t>1 CAJA X 400 CUBANITOS COMUNES ($156,00 X UNIDAD)</t>
  </si>
  <si>
    <t>1 CAJA X 400 CUBANITOS BAÑADOS ($333,00 X UNIDAD)</t>
  </si>
  <si>
    <t>1 POTE X 10KG DULCE DE LECHE LUZ AZUL</t>
  </si>
  <si>
    <t>TRANFERENCIA</t>
  </si>
  <si>
    <t>GARRAPIÑADA</t>
  </si>
  <si>
    <t>SEÑORA</t>
  </si>
  <si>
    <t>3 KG DE GARRAPIÑADA ($7.000 X KG)</t>
  </si>
  <si>
    <t>C</t>
  </si>
  <si>
    <t>JORGE</t>
  </si>
  <si>
    <t>PAGO INICIO ACTIVIDAD JORGE</t>
  </si>
  <si>
    <t>MUNICIPALIDAD</t>
  </si>
  <si>
    <t>TASA SEGURIDAD E HIGIENE JULIO  2025</t>
  </si>
  <si>
    <t>IMPUESTO</t>
  </si>
  <si>
    <t>JULIA</t>
  </si>
  <si>
    <t>1 POTE X 10KG DULCE DE LECHE PIGUENSE</t>
  </si>
  <si>
    <t>E</t>
  </si>
  <si>
    <t>HERRAJE</t>
  </si>
  <si>
    <t>FEDE VALENTE</t>
  </si>
  <si>
    <t>RUEDASN+ GUIAS PARA VENTA</t>
  </si>
  <si>
    <t>SELLADORES</t>
  </si>
  <si>
    <t>PROMAR</t>
  </si>
  <si>
    <t>FASTIC+ CINTA BURLETE</t>
  </si>
  <si>
    <t>ARCA</t>
  </si>
  <si>
    <t>MONOTRIBUTO MES JUNIO</t>
  </si>
  <si>
    <t>PLAGAS</t>
  </si>
  <si>
    <t>LUGONES</t>
  </si>
  <si>
    <t>CONTROL DE PLGAS MES JUNIO</t>
  </si>
  <si>
    <t>TASA DE SEGURIDAD E HIGIENE + HABILITACION</t>
  </si>
  <si>
    <t>GARRAFA</t>
  </si>
  <si>
    <t>GARRAFA DON BOSCO</t>
  </si>
  <si>
    <t>CARGA DE GARRAFA</t>
  </si>
  <si>
    <t>BOLSAS</t>
  </si>
  <si>
    <t>MICRO ENVASES</t>
  </si>
  <si>
    <t>1 00 GUANTES +200 BOLSAS N3+ 200 BOLSAS N4+ BOLSA CAMISETA</t>
  </si>
  <si>
    <t>ACRILICO</t>
  </si>
  <si>
    <t>VICTOR</t>
  </si>
  <si>
    <t>ACRILICOS PARA VENTANA</t>
  </si>
  <si>
    <t xml:space="preserve">ACRILICO </t>
  </si>
  <si>
    <t>PLOTEO</t>
  </si>
  <si>
    <t>PLOTEO CARRO</t>
  </si>
  <si>
    <t>VENTAS</t>
  </si>
  <si>
    <t>GASTOS</t>
  </si>
  <si>
    <t>CONTROL DE PLGAS MES JULIO</t>
  </si>
  <si>
    <t>MONOTRIBUTO MES JULIO</t>
  </si>
  <si>
    <t>1 CAJA X 200 CUBANITOS COMUNES ($156,00 X UNIDAD)</t>
  </si>
  <si>
    <t>2 POTE X 10KG DULCE DE LECHE PIGUENSE</t>
  </si>
  <si>
    <t>1 CAJA X 300 CUBANITOS BAÑADOS ($333,00 X UNIDAD)</t>
  </si>
  <si>
    <t>TRANFERENCIA PARA GENERAR EFECTIVO</t>
  </si>
  <si>
    <t>MOVIMIENTO</t>
  </si>
  <si>
    <t>CARRO</t>
  </si>
  <si>
    <t>GLORIA</t>
  </si>
  <si>
    <t>5 KG DE GARRAPIÑADA ($7.000 X KG)</t>
  </si>
  <si>
    <t>1 CAJA X 200 CUBANITOS BAÑADOS ($333,00 X UNIDAD)</t>
  </si>
  <si>
    <t>CANTIDAD</t>
  </si>
  <si>
    <t>EXTRACCION</t>
  </si>
  <si>
    <t>ERICA</t>
  </si>
  <si>
    <t>EXTRACCION MES JULIO EFECTIVO</t>
  </si>
  <si>
    <t>MATIAS</t>
  </si>
  <si>
    <t>EXTRACCION MES JULIO BANCARIZADA X TRANFERENCIAS</t>
  </si>
  <si>
    <t>MES AGOSTO</t>
  </si>
  <si>
    <t>CAJA REAL</t>
  </si>
  <si>
    <t>CASA DON BOSCO</t>
  </si>
  <si>
    <t>CERRAJERIA</t>
  </si>
  <si>
    <t xml:space="preserve">LLAVE CARRO </t>
  </si>
  <si>
    <t>MONOTRIBUTO MES AGOSTO</t>
  </si>
  <si>
    <t>4 POTE X 10KG DULCE DE LECHE LUZ AZUL</t>
  </si>
  <si>
    <t>REDONDEO</t>
  </si>
  <si>
    <t>500 BOLSAS N3+ 500 BOLSAS N4</t>
  </si>
  <si>
    <t>200 GUANTES+ BOLSAS CAMISETAS</t>
  </si>
  <si>
    <t>EXTRACCION MES AGOSTO EFECTIVO</t>
  </si>
  <si>
    <t>EXTRACCION MES AGOSTO BANCARIZADA X TRANFERENCIAS</t>
  </si>
  <si>
    <t>GARRAFAS DON BOSCO</t>
  </si>
  <si>
    <t>EMPLEADA</t>
  </si>
  <si>
    <t>MILI TRABAJO EL 17/08</t>
  </si>
  <si>
    <t>BATERIA</t>
  </si>
  <si>
    <t>JACOB</t>
  </si>
  <si>
    <t>COMPRA DE BATERIA</t>
  </si>
  <si>
    <t>LLAVE CANDADO</t>
  </si>
  <si>
    <t>PLASTICOS BLANCOS</t>
  </si>
  <si>
    <t xml:space="preserve">BOLSAS PARA GARRAPIÑADAS </t>
  </si>
  <si>
    <t>CUBANITO BAÑADOS</t>
  </si>
  <si>
    <t>1 CAJA X 400 CUBANITOS BAÑADOS ($358,00 X UNIDAD)</t>
  </si>
  <si>
    <t>2 POTE X 10KG DULCE DE LECHE LUZ AZUL</t>
  </si>
  <si>
    <t>Cambio</t>
  </si>
  <si>
    <t>Caja Carro</t>
  </si>
  <si>
    <t>LUZ AZUL</t>
  </si>
  <si>
    <t>ARRMACO</t>
  </si>
  <si>
    <t>ARRUMACO</t>
  </si>
  <si>
    <t>2 DELANTALES NEGROS ADELANTO</t>
  </si>
  <si>
    <t>PEDIDOS YA</t>
  </si>
  <si>
    <t>PedidosYA</t>
  </si>
  <si>
    <t>Efectivo</t>
  </si>
  <si>
    <t>PEYA WALLET</t>
  </si>
  <si>
    <t>VESTIMENTA</t>
  </si>
  <si>
    <t>2 DELANTALES + 2 COFIA</t>
  </si>
  <si>
    <t>TASA SEGURIDAD E HIGIENE SEPTIEMBRE  2025</t>
  </si>
  <si>
    <t>MONOTRIBUTO MES SEPTIEMBRE</t>
  </si>
  <si>
    <t>1 CAJA X 400 CUBANITOS BAÑADOS BLANCOS ($358,00 X UNIDAD)</t>
  </si>
  <si>
    <t>CHICA</t>
  </si>
  <si>
    <t>35KG DE GARRAPIÑADA ($10.000 X KG)</t>
  </si>
  <si>
    <t>NITRAM</t>
  </si>
  <si>
    <t>REPUESTOS</t>
  </si>
  <si>
    <t>REPUESTOS PARA HACER PUNTERA DE CUBANERA</t>
  </si>
  <si>
    <t>2 POTE X 10KG DULCE DE LECHE LUZ AZUL (42261.50)</t>
  </si>
  <si>
    <t>6 POTE X 10KG DULCE DE LECHE PIGUENSE ($25.000)</t>
  </si>
  <si>
    <t>ALFA RODAMIENTO</t>
  </si>
  <si>
    <t>REPUESTOS ORRIN PARA CUBANERA</t>
  </si>
  <si>
    <t>PAPELERA SAN LUIS</t>
  </si>
  <si>
    <t>500 BOLSAS N3L+ 100 BOLSAS N4</t>
  </si>
  <si>
    <t>PAGO MENSUAL JORGE</t>
  </si>
  <si>
    <t>10 KG DE GARRAPIÑADA ($8.000 X KG)</t>
  </si>
  <si>
    <t>4 POTE X 10KG DULCE DE LECHE LUZ AZUL (42261.50)</t>
  </si>
  <si>
    <t>3 POTE X 10KG DULCE DE LECHE LUZ AZUL (42261.50)</t>
  </si>
  <si>
    <t>PEDIDO YA</t>
  </si>
  <si>
    <t>GASTOS DE COMICION 1-9 AL 7-9</t>
  </si>
  <si>
    <t>MES SEPTIEMBRE</t>
  </si>
  <si>
    <t>CONTROL DE PLGAS MES septiembre</t>
  </si>
  <si>
    <t>4 POTE X 10KG DULCE DE LECHE PIGUENSE ($25.000)</t>
  </si>
  <si>
    <t>3 CAJA X 400 CUBANITOS COMUNES ($156,00 X UNIDAD)</t>
  </si>
  <si>
    <t>5 CAJA X 400 CUBANITOS BAÑADOS ($358,00 X UNIDAD)</t>
  </si>
  <si>
    <t>MILI TRABAJO EL 27/09+28/09</t>
  </si>
  <si>
    <t>GASTOS DE COMICION 15-9 AL 21-9</t>
  </si>
  <si>
    <t>EXTRACCION MES SEPTIEMBRE EFECTIVO</t>
  </si>
  <si>
    <t>EXTRACCION MES SEPTIEMBRE BANCARIZADA X TRANFERENCIAS</t>
  </si>
  <si>
    <t>MES OCTUBRE</t>
  </si>
  <si>
    <t>GASTOS DE COMICION 9-9 AL 14-9</t>
  </si>
  <si>
    <t>1 CAJA X 600 CUBANITOS COMUNES ($156,00 X UNIDAD)</t>
  </si>
  <si>
    <t>4 POTE X 10KG DULCE DE LECHE PIGUENSE</t>
  </si>
  <si>
    <t>MONOTRIBUTO MES OCTUBRE</t>
  </si>
  <si>
    <t>GASTOS DE COMICION 22-9 AL 28-9</t>
  </si>
  <si>
    <t>GASTOS DE COMICION 29-9 AL 5-10</t>
  </si>
  <si>
    <t>CONTROL DE PLGAS MES OCTUBRE</t>
  </si>
  <si>
    <t>GASTOS DE COMICION 6-10 AL 12-10</t>
  </si>
  <si>
    <t>GASTOS DE COMICION 13-10 AL 19-10</t>
  </si>
  <si>
    <t>GASTOS DE COMICION 20-10 AL 26-10</t>
  </si>
  <si>
    <t>1 CAJA X 200 CUBANITOS BAÑADOS ($358,00 X UNIDAD)</t>
  </si>
  <si>
    <t>Plasticos blancon</t>
  </si>
  <si>
    <t>100 BOLSAS NCAMISETAS DE 40X50</t>
  </si>
  <si>
    <t>MONOTRIBUTO MES NOVIEMBRE</t>
  </si>
  <si>
    <t>TASA SEGURIDAD E HIGIENE NOVIEMBRE  2025</t>
  </si>
  <si>
    <t>GASTOS DE COMICION 27-10 AL 02-11</t>
  </si>
  <si>
    <t>GASTOS DE COMICION 3-11 AL 09-11</t>
  </si>
  <si>
    <t>500 BOLSAS N3L+ 500 BOLSAS N4</t>
  </si>
  <si>
    <t>100 GUANTES+ BOLSAS CAMISETAS</t>
  </si>
  <si>
    <t>GASTOS DE COMICION 10-11 AL 16-11</t>
  </si>
  <si>
    <t xml:space="preserve"> </t>
  </si>
  <si>
    <t>1 CAJA X 400 CUBANITOS COMUNES ($168,50 X UNIDAD)</t>
  </si>
  <si>
    <t>1 CAJA X 400 CUBANITOS BAÑADOS ($490,00 X UNIDAD)</t>
  </si>
  <si>
    <t>400 BOLSAS GARRAPIÑADAS</t>
  </si>
  <si>
    <t>1 POTE X 10KG DULCE DE LECHE LUZ AZUL (44500)</t>
  </si>
  <si>
    <t>GASTOS DE COMICION 17-11 AL 23-11</t>
  </si>
  <si>
    <t>GASTOS DE COMICION 24-11 AL 30-11</t>
  </si>
  <si>
    <t>1 CAJA X 200 CUBANITOS BAÑADOS ($490,00 X UNIDAD)</t>
  </si>
  <si>
    <t>1 CAJA X 100 CUBANITOS BAÑADOS ($490,00 X UNIDAD)</t>
  </si>
  <si>
    <t>2 POTE X 10KG DULCE DE LECHE LUZ AZUL (25500)</t>
  </si>
  <si>
    <t>GASTOS DE COMICION 1-12 AL 7-12</t>
  </si>
  <si>
    <t>2KG DE GARRAPIÑADA ($9.000 X KG)</t>
  </si>
  <si>
    <t>GASTOS DE COMICION 8-12 AL 14-12</t>
  </si>
  <si>
    <t>GASTOS DE COMICION 15-12 AL 21-12</t>
  </si>
  <si>
    <t>GASTOS DE COMICION 22-12 AL 28-12</t>
  </si>
  <si>
    <t>EXTRACCION MES ENERO PEYA</t>
  </si>
  <si>
    <t>MES NOVIEMBRE</t>
  </si>
  <si>
    <t>MES DICIEMBRE</t>
  </si>
  <si>
    <t>MES ENERO</t>
  </si>
  <si>
    <t>GASTOS DE COMICION 29-12 AL 4-01-26</t>
  </si>
  <si>
    <t>MONOTRIBUTO MES ENERO</t>
  </si>
  <si>
    <t>GASTOS DE COMICION 5-1 AL 11-01-26</t>
  </si>
  <si>
    <t>2 POTE X 10KG DULCE DE LECHE JULIA (25500)</t>
  </si>
  <si>
    <t>CONTROL DE PLGAS MES ENERO</t>
  </si>
  <si>
    <t>EXTRACCION MES DICIEMBRE EFECTIVO</t>
  </si>
  <si>
    <t>EXTRACCION MES DICIEMBRE EFECTIVO Y BANCARIZADA X TRANFERENCIAS</t>
  </si>
  <si>
    <t>3KG DE GARRAPIÑADA ($9.000 X KG)</t>
  </si>
  <si>
    <t>GASTOS DE COMICION 12-1 AL 18-01-26</t>
  </si>
  <si>
    <t>MES FEBRERO</t>
  </si>
  <si>
    <t>EXTRACCION MES ENERO EFECTIVO Y BANCARIZADA X TRANFERENCIAS</t>
  </si>
  <si>
    <t>GASTOS DE COMICION 19-1 AL 25-1</t>
  </si>
  <si>
    <t>GASTOS DE COMICION 26-01 AL 1-02</t>
  </si>
  <si>
    <t>2 POTE X 10KG DULCE DE LECHE LUZ AZUL (27300)</t>
  </si>
  <si>
    <t>TASA SEGURIDAD E HIGIENE FEBRERO 2026</t>
  </si>
  <si>
    <t>GASTOS DE COMICION 02-02 AL 8-02</t>
  </si>
  <si>
    <t>CONTROL DE PLGAS MES FEBRERO</t>
  </si>
  <si>
    <t>GASTOS DE COMICION 09-02 AL 15-02</t>
  </si>
  <si>
    <t>1 CAJA X 100 CUBANITOS BAÑADOS NEGROS ($490,00 X UNIDAD)</t>
  </si>
  <si>
    <t>1 CAJA X 400 CUBANITOS COMUNES ($217 X UNIDAD)</t>
  </si>
  <si>
    <t>1 CAJA X 100 CUBANITOS BAÑADOS BLANCOS ($490,00 X UNIDAD)</t>
  </si>
  <si>
    <t>EXTRACCION MES FEBRERO TRANFERENCIA</t>
  </si>
  <si>
    <t>2 POTE X 10KG DULCE DE LECHE PIGUENSE (27300)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</si>
</sst>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&quot;$&quot;_-;\-* #,##0.00\ &quot;$&quot;_-;_-* &quot;-&quot;??\ &quot;$&quot;_-;_-@_-"/>
    <numFmt numFmtId="165" formatCode="&quot;$&quot;\ #,##0;[Red]\-&quot;$&quot;\ #,##0"/>
    <numFmt numFmtId="166" formatCode="_-&quot;$&quot;\ * #,##0.00_-;\-&quot;$&quot;\ * #,##0.00_-;_-&quot;$&quot;\ * &quot;-&quot;??_-;_-@_-"/>
    <numFmt numFmtId="167" formatCode="dd/mm/yy;@"/>
  </numFmts>
  <fonts count="3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indexed="10"/>
      <name val="Arial"/>
      <family val="2"/>
    </font>
    <font>
      <sz val="10"/>
      <color indexed="36"/>
      <name val="Arial"/>
      <family val="2"/>
    </font>
    <font>
      <sz val="8"/>
      <color indexed="36"/>
      <name val="Arial"/>
      <family val="2"/>
    </font>
    <font>
      <sz val="10"/>
      <color rgb="FFFF0000"/>
      <name val="Arial"/>
      <family val="2"/>
    </font>
    <font>
      <sz val="10"/>
      <color indexed="60"/>
      <name val="Arial"/>
      <family val="2"/>
    </font>
    <font>
      <b/>
      <sz val="10"/>
      <color indexed="9"/>
      <name val="Arial"/>
      <family val="2"/>
    </font>
    <font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rgb="FFFF0000"/>
      <name val="Arial"/>
      <family val="2"/>
    </font>
    <font>
      <sz val="11"/>
      <color rgb="FFFF0000"/>
      <name val="Aptos Narrow"/>
      <family val="2"/>
      <scheme val="minor"/>
    </font>
    <font>
      <b/>
      <sz val="10"/>
      <color indexed="81"/>
      <name val="Tahoma"/>
      <family val="2"/>
    </font>
    <font>
      <b/>
      <sz val="8"/>
      <name val="Arial"/>
      <family val="2"/>
    </font>
    <font>
      <b/>
      <sz val="1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rial"/>
      <family val="2"/>
    </font>
    <font>
      <b/>
      <sz val="12"/>
      <color theme="1"/>
      <name val="Aptos Narrow"/>
      <scheme val="minor"/>
    </font>
    <font>
      <sz val="11"/>
      <color theme="0"/>
      <name val="Aptos Narrow"/>
      <family val="2"/>
      <scheme val="minor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b/>
      <sz val="10"/>
      <color rgb="FFFF0000"/>
      <name val="Arial"/>
      <family val="2"/>
    </font>
    <font>
      <b/>
      <u val="singleAccounting"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66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5050"/>
      </bottom>
      <diagonal/>
    </border>
    <border>
      <left style="thin">
        <color indexed="64"/>
      </left>
      <right style="thin">
        <color indexed="64"/>
      </right>
      <top/>
      <bottom style="double">
        <color rgb="FFFF5050"/>
      </bottom>
      <diagonal/>
    </border>
    <border>
      <left style="medium">
        <color indexed="64"/>
      </left>
      <right style="thin">
        <color indexed="64"/>
      </right>
      <top/>
      <bottom style="double">
        <color rgb="FFFF5050"/>
      </bottom>
      <diagonal/>
    </border>
    <border>
      <left/>
      <right/>
      <top/>
      <bottom style="double">
        <color rgb="FFFF505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rgb="FFFF0000"/>
      </bottom>
      <diagonal/>
    </border>
    <border>
      <left style="medium">
        <color indexed="64"/>
      </left>
      <right style="thin">
        <color indexed="64"/>
      </right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 style="double">
        <color rgb="FFFF0066"/>
      </bottom>
      <diagonal/>
    </border>
    <border>
      <left style="thin">
        <color indexed="64"/>
      </left>
      <right style="medium">
        <color indexed="64"/>
      </right>
      <top/>
      <bottom style="double">
        <color rgb="FFFF0066"/>
      </bottom>
      <diagonal/>
    </border>
    <border>
      <left style="medium">
        <color indexed="64"/>
      </left>
      <right style="thin">
        <color indexed="64"/>
      </right>
      <top/>
      <bottom style="double">
        <color rgb="FFFF0066"/>
      </bottom>
      <diagonal/>
    </border>
    <border>
      <left/>
      <right/>
      <top/>
      <bottom style="double">
        <color rgb="FFFF0066"/>
      </bottom>
      <diagonal/>
    </border>
  </borders>
  <cellStyleXfs count="3">
    <xf numFmtId="0" fontId="0" fillId="0" borderId="0"/>
    <xf numFmtId="166" fontId="6" fillId="0" borderId="0" applyFont="0" applyFill="0" applyBorder="0" applyAlignment="0" applyProtection="0"/>
    <xf numFmtId="0" fontId="9" fillId="0" borderId="0"/>
  </cellStyleXfs>
  <cellXfs count="243">
    <xf numFmtId="0" fontId="0" fillId="0" borderId="0" xfId="0"/>
    <xf numFmtId="0" fontId="5" fillId="0" borderId="0" xfId="0" applyFont="1"/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165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/>
    <xf numFmtId="0" fontId="1" fillId="0" borderId="0" xfId="0" applyFont="1"/>
    <xf numFmtId="0" fontId="8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6" fontId="10" fillId="3" borderId="1" xfId="1" applyFont="1" applyFill="1" applyBorder="1" applyAlignment="1">
      <alignment horizontal="center" vertical="center" wrapText="1"/>
    </xf>
    <xf numFmtId="166" fontId="10" fillId="2" borderId="1" xfId="1" applyFont="1" applyFill="1" applyBorder="1" applyAlignment="1">
      <alignment horizontal="center" vertical="center" wrapText="1"/>
    </xf>
    <xf numFmtId="167" fontId="9" fillId="0" borderId="3" xfId="2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6" fontId="10" fillId="3" borderId="7" xfId="1" applyFont="1" applyFill="1" applyBorder="1" applyAlignment="1">
      <alignment horizontal="center" vertical="center" wrapText="1"/>
    </xf>
    <xf numFmtId="166" fontId="10" fillId="3" borderId="9" xfId="1" applyFont="1" applyFill="1" applyBorder="1" applyAlignment="1">
      <alignment horizontal="center" vertical="center" wrapText="1"/>
    </xf>
    <xf numFmtId="166" fontId="10" fillId="3" borderId="11" xfId="1" applyFont="1" applyFill="1" applyBorder="1" applyAlignment="1">
      <alignment horizontal="center" vertical="center" wrapText="1"/>
    </xf>
    <xf numFmtId="166" fontId="7" fillId="4" borderId="8" xfId="0" applyNumberFormat="1" applyFont="1" applyFill="1" applyBorder="1" applyAlignment="1">
      <alignment horizontal="center"/>
    </xf>
    <xf numFmtId="166" fontId="7" fillId="4" borderId="10" xfId="0" applyNumberFormat="1" applyFont="1" applyFill="1" applyBorder="1" applyAlignment="1">
      <alignment horizontal="center"/>
    </xf>
    <xf numFmtId="166" fontId="7" fillId="4" borderId="12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166" fontId="14" fillId="0" borderId="1" xfId="1" applyFont="1" applyBorder="1" applyAlignment="1">
      <alignment horizontal="center"/>
    </xf>
    <xf numFmtId="166" fontId="14" fillId="4" borderId="1" xfId="1" applyFont="1" applyFill="1" applyBorder="1" applyAlignment="1">
      <alignment horizontal="center"/>
    </xf>
    <xf numFmtId="167" fontId="14" fillId="0" borderId="3" xfId="0" applyNumberFormat="1" applyFont="1" applyBorder="1" applyAlignment="1">
      <alignment horizontal="center"/>
    </xf>
    <xf numFmtId="167" fontId="16" fillId="0" borderId="3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3" xfId="0" applyFont="1" applyBorder="1" applyAlignment="1">
      <alignment horizontal="left"/>
    </xf>
    <xf numFmtId="166" fontId="14" fillId="4" borderId="3" xfId="1" applyFont="1" applyFill="1" applyBorder="1" applyAlignment="1">
      <alignment horizontal="center"/>
    </xf>
    <xf numFmtId="167" fontId="14" fillId="0" borderId="6" xfId="0" applyNumberFormat="1" applyFont="1" applyBorder="1" applyAlignment="1">
      <alignment horizontal="center"/>
    </xf>
    <xf numFmtId="167" fontId="16" fillId="0" borderId="6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5" fillId="0" borderId="6" xfId="0" applyFont="1" applyBorder="1" applyAlignment="1">
      <alignment horizontal="left"/>
    </xf>
    <xf numFmtId="166" fontId="14" fillId="4" borderId="6" xfId="1" applyFont="1" applyFill="1" applyBorder="1" applyAlignment="1">
      <alignment horizontal="center"/>
    </xf>
    <xf numFmtId="166" fontId="14" fillId="0" borderId="6" xfId="1" applyFont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167" fontId="14" fillId="0" borderId="5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166" fontId="14" fillId="0" borderId="5" xfId="1" applyFont="1" applyBorder="1" applyAlignment="1">
      <alignment horizontal="center"/>
    </xf>
    <xf numFmtId="166" fontId="14" fillId="4" borderId="5" xfId="1" applyFont="1" applyFill="1" applyBorder="1" applyAlignment="1">
      <alignment horizontal="center"/>
    </xf>
    <xf numFmtId="166" fontId="14" fillId="0" borderId="3" xfId="1" applyFont="1" applyBorder="1" applyAlignment="1">
      <alignment horizontal="center"/>
    </xf>
    <xf numFmtId="167" fontId="16" fillId="0" borderId="5" xfId="0" applyNumberFormat="1" applyFont="1" applyBorder="1" applyAlignment="1">
      <alignment horizontal="center"/>
    </xf>
    <xf numFmtId="0" fontId="17" fillId="7" borderId="20" xfId="0" applyFont="1" applyFill="1" applyBorder="1" applyAlignment="1">
      <alignment horizontal="center"/>
    </xf>
    <xf numFmtId="166" fontId="17" fillId="7" borderId="20" xfId="1" applyFont="1" applyFill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166" fontId="0" fillId="0" borderId="0" xfId="1" applyFont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166" fontId="0" fillId="4" borderId="22" xfId="1" applyFont="1" applyFill="1" applyBorder="1" applyAlignment="1">
      <alignment horizontal="center"/>
    </xf>
    <xf numFmtId="0" fontId="18" fillId="8" borderId="2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9" xfId="0" applyFont="1" applyBorder="1" applyAlignment="1">
      <alignment horizontal="center"/>
    </xf>
    <xf numFmtId="166" fontId="0" fillId="0" borderId="24" xfId="1" applyFont="1" applyBorder="1" applyAlignment="1">
      <alignment horizontal="center"/>
    </xf>
    <xf numFmtId="166" fontId="9" fillId="4" borderId="20" xfId="1" applyFont="1" applyFill="1" applyBorder="1" applyAlignment="1">
      <alignment horizontal="center"/>
    </xf>
    <xf numFmtId="167" fontId="14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left"/>
    </xf>
    <xf numFmtId="166" fontId="1" fillId="0" borderId="1" xfId="0" applyNumberFormat="1" applyFont="1" applyBorder="1"/>
    <xf numFmtId="0" fontId="7" fillId="0" borderId="0" xfId="0" applyFont="1" applyAlignment="1">
      <alignment horizontal="center" vertical="center"/>
    </xf>
    <xf numFmtId="166" fontId="7" fillId="9" borderId="8" xfId="0" applyNumberFormat="1" applyFont="1" applyFill="1" applyBorder="1" applyAlignment="1">
      <alignment horizontal="center"/>
    </xf>
    <xf numFmtId="166" fontId="7" fillId="9" borderId="10" xfId="0" applyNumberFormat="1" applyFont="1" applyFill="1" applyBorder="1" applyAlignment="1">
      <alignment horizontal="center"/>
    </xf>
    <xf numFmtId="166" fontId="19" fillId="0" borderId="1" xfId="0" applyNumberFormat="1" applyFont="1" applyBorder="1"/>
    <xf numFmtId="0" fontId="11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left" vertical="center"/>
    </xf>
    <xf numFmtId="0" fontId="0" fillId="10" borderId="0" xfId="0" applyFill="1"/>
    <xf numFmtId="0" fontId="17" fillId="7" borderId="20" xfId="0" applyFont="1" applyFill="1" applyBorder="1"/>
    <xf numFmtId="0" fontId="10" fillId="5" borderId="13" xfId="0" applyFont="1" applyFill="1" applyBorder="1" applyAlignment="1" applyProtection="1">
      <alignment vertical="center"/>
      <protection locked="0"/>
    </xf>
    <xf numFmtId="0" fontId="10" fillId="5" borderId="14" xfId="0" applyFont="1" applyFill="1" applyBorder="1" applyAlignment="1" applyProtection="1">
      <alignment vertical="center"/>
      <protection locked="0"/>
    </xf>
    <xf numFmtId="166" fontId="10" fillId="5" borderId="14" xfId="1" applyFont="1" applyFill="1" applyBorder="1" applyAlignment="1" applyProtection="1">
      <alignment vertical="center"/>
      <protection locked="0"/>
    </xf>
    <xf numFmtId="0" fontId="10" fillId="5" borderId="15" xfId="0" applyFont="1" applyFill="1" applyBorder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10" fillId="5" borderId="16" xfId="0" applyFont="1" applyFill="1" applyBorder="1" applyAlignment="1" applyProtection="1">
      <alignment vertical="center"/>
      <protection locked="0"/>
    </xf>
    <xf numFmtId="0" fontId="10" fillId="5" borderId="17" xfId="0" applyFont="1" applyFill="1" applyBorder="1" applyAlignment="1" applyProtection="1">
      <alignment vertical="center"/>
      <protection locked="0"/>
    </xf>
    <xf numFmtId="166" fontId="10" fillId="5" borderId="17" xfId="1" applyFont="1" applyFill="1" applyBorder="1" applyAlignment="1" applyProtection="1">
      <alignment vertic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9" fillId="6" borderId="1" xfId="0" applyFont="1" applyFill="1" applyBorder="1" applyAlignment="1" applyProtection="1">
      <alignment horizontal="center"/>
      <protection locked="0"/>
    </xf>
    <xf numFmtId="166" fontId="9" fillId="6" borderId="1" xfId="1" applyFont="1" applyFill="1" applyBorder="1" applyAlignment="1" applyProtection="1">
      <alignment horizontal="center"/>
      <protection locked="0"/>
    </xf>
    <xf numFmtId="166" fontId="9" fillId="2" borderId="1" xfId="1" applyFont="1" applyFill="1" applyBorder="1" applyAlignment="1" applyProtection="1">
      <alignment horizontal="center"/>
      <protection locked="0"/>
    </xf>
    <xf numFmtId="167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left"/>
    </xf>
    <xf numFmtId="166" fontId="16" fillId="2" borderId="1" xfId="1" applyFont="1" applyFill="1" applyBorder="1" applyAlignment="1">
      <alignment horizontal="center"/>
    </xf>
    <xf numFmtId="166" fontId="0" fillId="0" borderId="0" xfId="0" applyNumberFormat="1"/>
    <xf numFmtId="166" fontId="7" fillId="0" borderId="0" xfId="0" applyNumberFormat="1" applyFont="1" applyAlignment="1">
      <alignment horizontal="center" vertical="center"/>
    </xf>
    <xf numFmtId="0" fontId="22" fillId="0" borderId="0" xfId="0" applyFont="1"/>
    <xf numFmtId="166" fontId="10" fillId="3" borderId="25" xfId="1" applyFont="1" applyFill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center"/>
    </xf>
    <xf numFmtId="0" fontId="0" fillId="0" borderId="6" xfId="0" applyBorder="1"/>
    <xf numFmtId="167" fontId="10" fillId="11" borderId="26" xfId="0" applyNumberFormat="1" applyFont="1" applyFill="1" applyBorder="1" applyAlignment="1">
      <alignment horizontal="center"/>
    </xf>
    <xf numFmtId="167" fontId="10" fillId="11" borderId="27" xfId="0" applyNumberFormat="1" applyFont="1" applyFill="1" applyBorder="1" applyAlignment="1">
      <alignment horizontal="center"/>
    </xf>
    <xf numFmtId="0" fontId="10" fillId="11" borderId="27" xfId="0" applyFont="1" applyFill="1" applyBorder="1" applyAlignment="1">
      <alignment horizontal="center"/>
    </xf>
    <xf numFmtId="0" fontId="24" fillId="11" borderId="27" xfId="0" applyFont="1" applyFill="1" applyBorder="1" applyAlignment="1">
      <alignment horizontal="left"/>
    </xf>
    <xf numFmtId="166" fontId="10" fillId="11" borderId="27" xfId="1" applyFont="1" applyFill="1" applyBorder="1" applyAlignment="1">
      <alignment horizontal="center"/>
    </xf>
    <xf numFmtId="166" fontId="10" fillId="11" borderId="28" xfId="1" applyFont="1" applyFill="1" applyBorder="1" applyAlignment="1">
      <alignment horizontal="center"/>
    </xf>
    <xf numFmtId="167" fontId="10" fillId="11" borderId="29" xfId="0" applyNumberFormat="1" applyFont="1" applyFill="1" applyBorder="1" applyAlignment="1">
      <alignment horizontal="center"/>
    </xf>
    <xf numFmtId="167" fontId="10" fillId="11" borderId="30" xfId="0" applyNumberFormat="1" applyFont="1" applyFill="1" applyBorder="1" applyAlignment="1">
      <alignment horizontal="center"/>
    </xf>
    <xf numFmtId="0" fontId="10" fillId="11" borderId="30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left"/>
    </xf>
    <xf numFmtId="166" fontId="10" fillId="11" borderId="30" xfId="1" applyFont="1" applyFill="1" applyBorder="1" applyAlignment="1">
      <alignment horizontal="center"/>
    </xf>
    <xf numFmtId="166" fontId="10" fillId="11" borderId="31" xfId="1" applyFont="1" applyFill="1" applyBorder="1" applyAlignment="1">
      <alignment horizontal="center"/>
    </xf>
    <xf numFmtId="167" fontId="9" fillId="0" borderId="32" xfId="2" applyNumberFormat="1" applyBorder="1" applyAlignment="1">
      <alignment horizontal="center" vertical="center"/>
    </xf>
    <xf numFmtId="166" fontId="1" fillId="0" borderId="32" xfId="0" applyNumberFormat="1" applyFont="1" applyBorder="1"/>
    <xf numFmtId="166" fontId="25" fillId="11" borderId="32" xfId="0" applyNumberFormat="1" applyFont="1" applyFill="1" applyBorder="1"/>
    <xf numFmtId="166" fontId="7" fillId="9" borderId="33" xfId="0" applyNumberFormat="1" applyFont="1" applyFill="1" applyBorder="1" applyAlignment="1">
      <alignment horizontal="center"/>
    </xf>
    <xf numFmtId="0" fontId="0" fillId="0" borderId="34" xfId="0" applyBorder="1"/>
    <xf numFmtId="0" fontId="12" fillId="0" borderId="3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7" fontId="16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left"/>
    </xf>
    <xf numFmtId="166" fontId="16" fillId="4" borderId="1" xfId="1" applyFont="1" applyFill="1" applyBorder="1" applyAlignment="1">
      <alignment horizontal="center"/>
    </xf>
    <xf numFmtId="164" fontId="0" fillId="0" borderId="0" xfId="0" applyNumberFormat="1"/>
    <xf numFmtId="166" fontId="19" fillId="0" borderId="1" xfId="0" quotePrefix="1" applyNumberFormat="1" applyFont="1" applyBorder="1"/>
    <xf numFmtId="0" fontId="14" fillId="0" borderId="2" xfId="0" applyFont="1" applyBorder="1" applyAlignment="1">
      <alignment horizontal="center"/>
    </xf>
    <xf numFmtId="166" fontId="14" fillId="0" borderId="4" xfId="1" applyFont="1" applyBorder="1" applyAlignment="1">
      <alignment horizontal="center"/>
    </xf>
    <xf numFmtId="0" fontId="15" fillId="0" borderId="35" xfId="0" applyFont="1" applyBorder="1" applyAlignment="1">
      <alignment horizontal="left"/>
    </xf>
    <xf numFmtId="43" fontId="0" fillId="0" borderId="0" xfId="0" applyNumberFormat="1"/>
    <xf numFmtId="0" fontId="2" fillId="0" borderId="1" xfId="0" applyFont="1" applyBorder="1" applyAlignment="1">
      <alignment horizontal="center" vertical="center"/>
    </xf>
    <xf numFmtId="166" fontId="25" fillId="0" borderId="32" xfId="0" applyNumberFormat="1" applyFont="1" applyFill="1" applyBorder="1"/>
    <xf numFmtId="0" fontId="2" fillId="0" borderId="0" xfId="0" applyFont="1" applyBorder="1" applyAlignment="1">
      <alignment horizontal="left" vertical="center"/>
    </xf>
    <xf numFmtId="166" fontId="10" fillId="12" borderId="36" xfId="1" applyFont="1" applyFill="1" applyBorder="1" applyAlignment="1">
      <alignment horizontal="center" vertical="center" wrapText="1"/>
    </xf>
    <xf numFmtId="166" fontId="27" fillId="12" borderId="36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6" fillId="12" borderId="9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9" fillId="2" borderId="6" xfId="0" applyFont="1" applyFill="1" applyBorder="1" applyAlignment="1" applyProtection="1">
      <alignment horizontal="center"/>
      <protection locked="0"/>
    </xf>
    <xf numFmtId="166" fontId="9" fillId="2" borderId="16" xfId="1" applyFont="1" applyFill="1" applyBorder="1" applyAlignment="1" applyProtection="1">
      <alignment horizontal="center"/>
      <protection locked="0"/>
    </xf>
    <xf numFmtId="166" fontId="27" fillId="12" borderId="1" xfId="1" applyFont="1" applyFill="1" applyBorder="1" applyAlignment="1">
      <alignment horizontal="center" vertical="center" wrapText="1"/>
    </xf>
    <xf numFmtId="167" fontId="14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166" fontId="14" fillId="0" borderId="0" xfId="1" applyFont="1" applyBorder="1" applyAlignment="1">
      <alignment horizontal="center"/>
    </xf>
    <xf numFmtId="166" fontId="14" fillId="4" borderId="0" xfId="1" applyFont="1" applyFill="1" applyBorder="1" applyAlignment="1">
      <alignment horizontal="center"/>
    </xf>
    <xf numFmtId="0" fontId="0" fillId="0" borderId="0" xfId="0" applyBorder="1"/>
    <xf numFmtId="167" fontId="14" fillId="0" borderId="38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167" fontId="14" fillId="0" borderId="13" xfId="0" applyNumberFormat="1" applyFont="1" applyBorder="1" applyAlignment="1">
      <alignment horizontal="center"/>
    </xf>
    <xf numFmtId="0" fontId="15" fillId="0" borderId="13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166" fontId="14" fillId="4" borderId="15" xfId="1" applyFont="1" applyFill="1" applyBorder="1" applyAlignment="1">
      <alignment horizontal="center"/>
    </xf>
    <xf numFmtId="166" fontId="14" fillId="4" borderId="35" xfId="1" applyFont="1" applyFill="1" applyBorder="1" applyAlignment="1">
      <alignment horizontal="center"/>
    </xf>
    <xf numFmtId="166" fontId="14" fillId="0" borderId="13" xfId="1" applyFont="1" applyBorder="1" applyAlignment="1">
      <alignment horizontal="center"/>
    </xf>
    <xf numFmtId="166" fontId="14" fillId="0" borderId="38" xfId="1" applyFont="1" applyBorder="1" applyAlignment="1">
      <alignment horizontal="center"/>
    </xf>
    <xf numFmtId="166" fontId="14" fillId="0" borderId="16" xfId="1" applyFont="1" applyBorder="1" applyAlignment="1">
      <alignment horizontal="center"/>
    </xf>
    <xf numFmtId="167" fontId="30" fillId="13" borderId="1" xfId="0" applyNumberFormat="1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left"/>
    </xf>
    <xf numFmtId="166" fontId="30" fillId="13" borderId="1" xfId="1" applyFont="1" applyFill="1" applyBorder="1" applyAlignment="1">
      <alignment horizontal="center"/>
    </xf>
    <xf numFmtId="0" fontId="29" fillId="13" borderId="0" xfId="0" applyFont="1" applyFill="1"/>
    <xf numFmtId="166" fontId="29" fillId="13" borderId="0" xfId="0" applyNumberFormat="1" applyFont="1" applyFill="1"/>
    <xf numFmtId="0" fontId="29" fillId="0" borderId="0" xfId="0" applyFont="1" applyFill="1"/>
    <xf numFmtId="0" fontId="2" fillId="0" borderId="1" xfId="0" applyFont="1" applyBorder="1" applyAlignment="1">
      <alignment horizontal="center" vertical="center"/>
    </xf>
    <xf numFmtId="166" fontId="1" fillId="0" borderId="3" xfId="0" applyNumberFormat="1" applyFont="1" applyBorder="1"/>
    <xf numFmtId="166" fontId="19" fillId="0" borderId="3" xfId="0" quotePrefix="1" applyNumberFormat="1" applyFont="1" applyBorder="1"/>
    <xf numFmtId="166" fontId="19" fillId="0" borderId="3" xfId="0" applyNumberFormat="1" applyFont="1" applyBorder="1"/>
    <xf numFmtId="166" fontId="7" fillId="9" borderId="26" xfId="0" applyNumberFormat="1" applyFont="1" applyFill="1" applyBorder="1" applyAlignment="1">
      <alignment horizontal="center"/>
    </xf>
    <xf numFmtId="166" fontId="19" fillId="0" borderId="6" xfId="0" applyNumberFormat="1" applyFont="1" applyBorder="1"/>
    <xf numFmtId="166" fontId="7" fillId="9" borderId="29" xfId="0" applyNumberFormat="1" applyFont="1" applyFill="1" applyBorder="1" applyAlignment="1">
      <alignment horizontal="center"/>
    </xf>
    <xf numFmtId="167" fontId="9" fillId="0" borderId="39" xfId="2" applyNumberFormat="1" applyBorder="1" applyAlignment="1">
      <alignment horizontal="center" vertical="center"/>
    </xf>
    <xf numFmtId="166" fontId="1" fillId="0" borderId="39" xfId="0" applyNumberFormat="1" applyFont="1" applyBorder="1"/>
    <xf numFmtId="166" fontId="19" fillId="0" borderId="39" xfId="0" quotePrefix="1" applyNumberFormat="1" applyFont="1" applyBorder="1"/>
    <xf numFmtId="166" fontId="19" fillId="0" borderId="39" xfId="0" applyNumberFormat="1" applyFont="1" applyBorder="1"/>
    <xf numFmtId="0" fontId="1" fillId="0" borderId="0" xfId="0" applyFont="1" applyFill="1" applyBorder="1" applyAlignment="1">
      <alignment horizontal="center" vertical="center"/>
    </xf>
    <xf numFmtId="166" fontId="1" fillId="0" borderId="40" xfId="0" applyNumberFormat="1" applyFont="1" applyBorder="1"/>
    <xf numFmtId="0" fontId="1" fillId="0" borderId="40" xfId="0" applyFont="1" applyBorder="1"/>
    <xf numFmtId="167" fontId="9" fillId="0" borderId="40" xfId="2" applyNumberFormat="1" applyBorder="1" applyAlignment="1">
      <alignment horizontal="center" vertical="center"/>
    </xf>
    <xf numFmtId="167" fontId="9" fillId="0" borderId="1" xfId="2" applyNumberFormat="1" applyBorder="1" applyAlignment="1">
      <alignment horizontal="center" vertical="center"/>
    </xf>
    <xf numFmtId="43" fontId="33" fillId="0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/>
      <protection locked="0"/>
    </xf>
    <xf numFmtId="166" fontId="9" fillId="0" borderId="1" xfId="1" applyFont="1" applyFill="1" applyBorder="1" applyAlignment="1" applyProtection="1">
      <alignment horizontal="center"/>
      <protection locked="0"/>
    </xf>
    <xf numFmtId="0" fontId="9" fillId="0" borderId="6" xfId="0" applyFont="1" applyFill="1" applyBorder="1" applyAlignment="1" applyProtection="1">
      <alignment horizontal="center"/>
      <protection locked="0"/>
    </xf>
    <xf numFmtId="166" fontId="27" fillId="0" borderId="0" xfId="1" applyFont="1" applyFill="1" applyBorder="1" applyAlignment="1">
      <alignment horizontal="center" vertical="center" wrapText="1"/>
    </xf>
    <xf numFmtId="0" fontId="0" fillId="0" borderId="0" xfId="0" applyFill="1" applyProtection="1">
      <protection locked="0"/>
    </xf>
    <xf numFmtId="166" fontId="9" fillId="0" borderId="6" xfId="1" applyFont="1" applyFill="1" applyBorder="1" applyAlignment="1" applyProtection="1">
      <alignment horizontal="center"/>
      <protection locked="0"/>
    </xf>
    <xf numFmtId="167" fontId="9" fillId="0" borderId="5" xfId="2" applyNumberFormat="1" applyBorder="1" applyAlignment="1">
      <alignment horizontal="center" vertical="center"/>
    </xf>
    <xf numFmtId="167" fontId="9" fillId="0" borderId="41" xfId="2" applyNumberFormat="1" applyBorder="1" applyAlignment="1">
      <alignment horizontal="center" vertical="center"/>
    </xf>
    <xf numFmtId="166" fontId="1" fillId="0" borderId="41" xfId="0" applyNumberFormat="1" applyFont="1" applyBorder="1"/>
    <xf numFmtId="166" fontId="19" fillId="0" borderId="42" xfId="0" applyNumberFormat="1" applyFont="1" applyBorder="1"/>
    <xf numFmtId="166" fontId="19" fillId="0" borderId="41" xfId="0" applyNumberFormat="1" applyFont="1" applyBorder="1"/>
    <xf numFmtId="166" fontId="7" fillId="9" borderId="43" xfId="0" applyNumberFormat="1" applyFont="1" applyFill="1" applyBorder="1" applyAlignment="1">
      <alignment horizontal="center"/>
    </xf>
    <xf numFmtId="0" fontId="0" fillId="0" borderId="44" xfId="0" applyBorder="1"/>
    <xf numFmtId="43" fontId="0" fillId="0" borderId="44" xfId="0" applyNumberFormat="1" applyBorder="1"/>
    <xf numFmtId="166" fontId="34" fillId="0" borderId="0" xfId="1" applyFont="1" applyFill="1" applyBorder="1" applyAlignment="1">
      <alignment horizontal="center" vertical="center" wrapText="1"/>
    </xf>
    <xf numFmtId="43" fontId="7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43" fontId="7" fillId="2" borderId="0" xfId="0" applyNumberFormat="1" applyFont="1" applyFill="1" applyAlignment="1">
      <alignment horizontal="center" vertical="center"/>
    </xf>
    <xf numFmtId="43" fontId="35" fillId="0" borderId="0" xfId="0" applyNumberFormat="1" applyFont="1" applyAlignment="1">
      <alignment horizontal="center" vertical="center"/>
    </xf>
    <xf numFmtId="166" fontId="29" fillId="13" borderId="18" xfId="0" applyNumberFormat="1" applyFont="1" applyFill="1" applyBorder="1"/>
    <xf numFmtId="166" fontId="29" fillId="13" borderId="19" xfId="0" applyNumberFormat="1" applyFont="1" applyFill="1" applyBorder="1"/>
    <xf numFmtId="0" fontId="2" fillId="0" borderId="1" xfId="0" applyFont="1" applyBorder="1" applyAlignment="1">
      <alignment horizontal="center" vertical="center"/>
    </xf>
    <xf numFmtId="166" fontId="1" fillId="0" borderId="6" xfId="0" applyNumberFormat="1" applyFont="1" applyBorder="1"/>
    <xf numFmtId="166" fontId="25" fillId="0" borderId="6" xfId="0" applyNumberFormat="1" applyFont="1" applyFill="1" applyBorder="1"/>
    <xf numFmtId="166" fontId="25" fillId="0" borderId="45" xfId="0" applyNumberFormat="1" applyFont="1" applyFill="1" applyBorder="1"/>
    <xf numFmtId="167" fontId="9" fillId="0" borderId="46" xfId="2" applyNumberFormat="1" applyBorder="1" applyAlignment="1">
      <alignment horizontal="center" vertical="center"/>
    </xf>
    <xf numFmtId="166" fontId="7" fillId="9" borderId="47" xfId="0" applyNumberFormat="1" applyFont="1" applyFill="1" applyBorder="1" applyAlignment="1">
      <alignment horizontal="center"/>
    </xf>
    <xf numFmtId="166" fontId="0" fillId="0" borderId="34" xfId="0" applyNumberFormat="1" applyBorder="1"/>
    <xf numFmtId="43" fontId="0" fillId="0" borderId="34" xfId="0" applyNumberFormat="1" applyBorder="1"/>
    <xf numFmtId="166" fontId="36" fillId="0" borderId="45" xfId="0" applyNumberFormat="1" applyFont="1" applyFill="1" applyBorder="1"/>
    <xf numFmtId="43" fontId="9" fillId="0" borderId="1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167" fontId="9" fillId="0" borderId="48" xfId="2" applyNumberFormat="1" applyBorder="1" applyAlignment="1">
      <alignment horizontal="center" vertical="center"/>
    </xf>
    <xf numFmtId="166" fontId="1" fillId="0" borderId="48" xfId="0" applyNumberFormat="1" applyFont="1" applyBorder="1"/>
    <xf numFmtId="166" fontId="25" fillId="0" borderId="48" xfId="0" applyNumberFormat="1" applyFont="1" applyFill="1" applyBorder="1"/>
    <xf numFmtId="166" fontId="36" fillId="0" borderId="49" xfId="0" applyNumberFormat="1" applyFont="1" applyFill="1" applyBorder="1"/>
    <xf numFmtId="166" fontId="7" fillId="9" borderId="50" xfId="0" applyNumberFormat="1" applyFont="1" applyFill="1" applyBorder="1" applyAlignment="1">
      <alignment horizontal="center"/>
    </xf>
    <xf numFmtId="166" fontId="0" fillId="0" borderId="51" xfId="0" applyNumberFormat="1" applyBorder="1"/>
    <xf numFmtId="43" fontId="0" fillId="0" borderId="51" xfId="0" applyNumberFormat="1" applyBorder="1"/>
    <xf numFmtId="0" fontId="0" fillId="0" borderId="51" xfId="0" applyBorder="1"/>
    <xf numFmtId="0" fontId="14" fillId="0" borderId="38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6" fontId="33" fillId="0" borderId="0" xfId="0" applyNumberFormat="1" applyFont="1" applyFill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2" borderId="1" xfId="0" applyFont="1" applyFill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FF00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F39" sqref="F39"/>
    </sheetView>
  </sheetViews>
  <sheetFormatPr baseColWidth="10" defaultRowHeight="14.25"/>
  <cols>
    <col min="1" max="1" width="7.25" bestFit="1" customWidth="1"/>
    <col min="2" max="2" width="25" bestFit="1" customWidth="1"/>
    <col min="3" max="3" width="26.375" customWidth="1"/>
    <col min="4" max="4" width="24" customWidth="1"/>
  </cols>
  <sheetData>
    <row r="1" spans="1:4" ht="34.5">
      <c r="A1" s="231" t="s">
        <v>0</v>
      </c>
      <c r="B1" s="231"/>
      <c r="C1" s="231"/>
      <c r="D1" s="231"/>
    </row>
    <row r="2" spans="1:4" ht="34.5">
      <c r="A2" s="2"/>
      <c r="B2" s="3" t="s">
        <v>1</v>
      </c>
      <c r="C2" s="3" t="s">
        <v>2</v>
      </c>
      <c r="D2" s="3" t="s">
        <v>3</v>
      </c>
    </row>
    <row r="3" spans="1:4" ht="23.25">
      <c r="A3" s="4">
        <v>1</v>
      </c>
      <c r="B3" s="5">
        <v>900</v>
      </c>
      <c r="C3" s="5">
        <v>1200</v>
      </c>
      <c r="D3" s="5">
        <f>SUM(B3+C3)</f>
        <v>2100</v>
      </c>
    </row>
    <row r="4" spans="1:4" ht="23.25">
      <c r="A4" s="4">
        <v>2</v>
      </c>
      <c r="B4" s="5">
        <f>+B3+900</f>
        <v>1800</v>
      </c>
      <c r="C4" s="5">
        <f>+C3+1200</f>
        <v>2400</v>
      </c>
      <c r="D4" s="5">
        <f>+B4+C4</f>
        <v>4200</v>
      </c>
    </row>
    <row r="5" spans="1:4" ht="23.25">
      <c r="A5" s="4">
        <v>3</v>
      </c>
      <c r="B5" s="5">
        <f t="shared" ref="B5:B26" si="0">+B4+900</f>
        <v>2700</v>
      </c>
      <c r="C5" s="5">
        <f t="shared" ref="C5:C26" si="1">+C4+1200</f>
        <v>3600</v>
      </c>
      <c r="D5" s="5">
        <f t="shared" ref="D5:D26" si="2">+B5+C5</f>
        <v>6300</v>
      </c>
    </row>
    <row r="6" spans="1:4" ht="23.25">
      <c r="A6" s="4">
        <v>4</v>
      </c>
      <c r="B6" s="5">
        <f t="shared" si="0"/>
        <v>3600</v>
      </c>
      <c r="C6" s="5">
        <f t="shared" si="1"/>
        <v>4800</v>
      </c>
      <c r="D6" s="5">
        <f t="shared" si="2"/>
        <v>8400</v>
      </c>
    </row>
    <row r="7" spans="1:4" ht="23.25">
      <c r="A7" s="4">
        <v>5</v>
      </c>
      <c r="B7" s="5">
        <f t="shared" si="0"/>
        <v>4500</v>
      </c>
      <c r="C7" s="5">
        <f t="shared" si="1"/>
        <v>6000</v>
      </c>
      <c r="D7" s="5">
        <f t="shared" si="2"/>
        <v>10500</v>
      </c>
    </row>
    <row r="8" spans="1:4" ht="23.25">
      <c r="A8" s="4">
        <v>6</v>
      </c>
      <c r="B8" s="5">
        <f t="shared" si="0"/>
        <v>5400</v>
      </c>
      <c r="C8" s="5">
        <f t="shared" si="1"/>
        <v>7200</v>
      </c>
      <c r="D8" s="5">
        <f t="shared" si="2"/>
        <v>12600</v>
      </c>
    </row>
    <row r="9" spans="1:4" ht="23.25">
      <c r="A9" s="4">
        <v>7</v>
      </c>
      <c r="B9" s="5">
        <f t="shared" si="0"/>
        <v>6300</v>
      </c>
      <c r="C9" s="5">
        <f t="shared" si="1"/>
        <v>8400</v>
      </c>
      <c r="D9" s="5">
        <f t="shared" si="2"/>
        <v>14700</v>
      </c>
    </row>
    <row r="10" spans="1:4" ht="23.25">
      <c r="A10" s="4">
        <v>8</v>
      </c>
      <c r="B10" s="5">
        <f t="shared" si="0"/>
        <v>7200</v>
      </c>
      <c r="C10" s="5">
        <f t="shared" si="1"/>
        <v>9600</v>
      </c>
      <c r="D10" s="5">
        <f t="shared" si="2"/>
        <v>16800</v>
      </c>
    </row>
    <row r="11" spans="1:4" ht="23.25">
      <c r="A11" s="4">
        <v>9</v>
      </c>
      <c r="B11" s="5">
        <f t="shared" si="0"/>
        <v>8100</v>
      </c>
      <c r="C11" s="5">
        <f t="shared" si="1"/>
        <v>10800</v>
      </c>
      <c r="D11" s="5">
        <f t="shared" si="2"/>
        <v>18900</v>
      </c>
    </row>
    <row r="12" spans="1:4" ht="23.25">
      <c r="A12" s="4">
        <v>10</v>
      </c>
      <c r="B12" s="5">
        <f t="shared" si="0"/>
        <v>9000</v>
      </c>
      <c r="C12" s="5">
        <f t="shared" si="1"/>
        <v>12000</v>
      </c>
      <c r="D12" s="5">
        <f t="shared" si="2"/>
        <v>21000</v>
      </c>
    </row>
    <row r="13" spans="1:4" ht="23.25">
      <c r="A13" s="4">
        <v>11</v>
      </c>
      <c r="B13" s="5">
        <f t="shared" si="0"/>
        <v>9900</v>
      </c>
      <c r="C13" s="5">
        <f t="shared" si="1"/>
        <v>13200</v>
      </c>
      <c r="D13" s="5">
        <f t="shared" si="2"/>
        <v>23100</v>
      </c>
    </row>
    <row r="14" spans="1:4" ht="23.25">
      <c r="A14" s="4">
        <v>12</v>
      </c>
      <c r="B14" s="5">
        <f t="shared" si="0"/>
        <v>10800</v>
      </c>
      <c r="C14" s="5">
        <f t="shared" si="1"/>
        <v>14400</v>
      </c>
      <c r="D14" s="5">
        <f t="shared" si="2"/>
        <v>25200</v>
      </c>
    </row>
    <row r="15" spans="1:4" ht="23.25">
      <c r="A15" s="4">
        <v>13</v>
      </c>
      <c r="B15" s="5">
        <f t="shared" si="0"/>
        <v>11700</v>
      </c>
      <c r="C15" s="5">
        <f t="shared" si="1"/>
        <v>15600</v>
      </c>
      <c r="D15" s="5">
        <f t="shared" si="2"/>
        <v>27300</v>
      </c>
    </row>
    <row r="16" spans="1:4" ht="23.25">
      <c r="A16" s="4">
        <v>14</v>
      </c>
      <c r="B16" s="5">
        <f t="shared" si="0"/>
        <v>12600</v>
      </c>
      <c r="C16" s="5">
        <f t="shared" si="1"/>
        <v>16800</v>
      </c>
      <c r="D16" s="5">
        <f t="shared" si="2"/>
        <v>29400</v>
      </c>
    </row>
    <row r="17" spans="1:4" ht="23.25">
      <c r="A17" s="4">
        <v>15</v>
      </c>
      <c r="B17" s="5">
        <f t="shared" si="0"/>
        <v>13500</v>
      </c>
      <c r="C17" s="5">
        <f t="shared" si="1"/>
        <v>18000</v>
      </c>
      <c r="D17" s="5">
        <f t="shared" si="2"/>
        <v>31500</v>
      </c>
    </row>
    <row r="18" spans="1:4" ht="23.25">
      <c r="A18" s="4">
        <v>16</v>
      </c>
      <c r="B18" s="5">
        <f t="shared" si="0"/>
        <v>14400</v>
      </c>
      <c r="C18" s="5">
        <f t="shared" si="1"/>
        <v>19200</v>
      </c>
      <c r="D18" s="5">
        <f t="shared" si="2"/>
        <v>33600</v>
      </c>
    </row>
    <row r="19" spans="1:4" ht="23.25">
      <c r="A19" s="4">
        <v>17</v>
      </c>
      <c r="B19" s="5">
        <f t="shared" si="0"/>
        <v>15300</v>
      </c>
      <c r="C19" s="5">
        <f t="shared" si="1"/>
        <v>20400</v>
      </c>
      <c r="D19" s="5">
        <f t="shared" si="2"/>
        <v>35700</v>
      </c>
    </row>
    <row r="20" spans="1:4" ht="23.25">
      <c r="A20" s="4">
        <v>18</v>
      </c>
      <c r="B20" s="5">
        <f t="shared" si="0"/>
        <v>16200</v>
      </c>
      <c r="C20" s="5">
        <f t="shared" si="1"/>
        <v>21600</v>
      </c>
      <c r="D20" s="5">
        <f t="shared" si="2"/>
        <v>37800</v>
      </c>
    </row>
    <row r="21" spans="1:4" ht="23.25">
      <c r="A21" s="4">
        <v>19</v>
      </c>
      <c r="B21" s="5">
        <f t="shared" si="0"/>
        <v>17100</v>
      </c>
      <c r="C21" s="5">
        <f t="shared" si="1"/>
        <v>22800</v>
      </c>
      <c r="D21" s="5">
        <f t="shared" si="2"/>
        <v>39900</v>
      </c>
    </row>
    <row r="22" spans="1:4" ht="23.25">
      <c r="A22" s="4">
        <v>20</v>
      </c>
      <c r="B22" s="5">
        <f t="shared" si="0"/>
        <v>18000</v>
      </c>
      <c r="C22" s="5">
        <f t="shared" si="1"/>
        <v>24000</v>
      </c>
      <c r="D22" s="5">
        <f t="shared" si="2"/>
        <v>42000</v>
      </c>
    </row>
    <row r="23" spans="1:4" ht="23.25">
      <c r="A23" s="4">
        <v>21</v>
      </c>
      <c r="B23" s="5">
        <f t="shared" si="0"/>
        <v>18900</v>
      </c>
      <c r="C23" s="5">
        <f t="shared" si="1"/>
        <v>25200</v>
      </c>
      <c r="D23" s="5">
        <f t="shared" si="2"/>
        <v>44100</v>
      </c>
    </row>
    <row r="24" spans="1:4" ht="23.25">
      <c r="A24" s="4">
        <v>22</v>
      </c>
      <c r="B24" s="5">
        <f t="shared" si="0"/>
        <v>19800</v>
      </c>
      <c r="C24" s="5">
        <f t="shared" si="1"/>
        <v>26400</v>
      </c>
      <c r="D24" s="5">
        <f t="shared" si="2"/>
        <v>46200</v>
      </c>
    </row>
    <row r="25" spans="1:4" ht="23.25">
      <c r="A25" s="4">
        <v>23</v>
      </c>
      <c r="B25" s="5">
        <f t="shared" si="0"/>
        <v>20700</v>
      </c>
      <c r="C25" s="5">
        <f t="shared" si="1"/>
        <v>27600</v>
      </c>
      <c r="D25" s="5">
        <f t="shared" si="2"/>
        <v>48300</v>
      </c>
    </row>
    <row r="26" spans="1:4" ht="23.25">
      <c r="A26" s="4">
        <v>24</v>
      </c>
      <c r="B26" s="5">
        <f t="shared" si="0"/>
        <v>21600</v>
      </c>
      <c r="C26" s="5">
        <f t="shared" si="1"/>
        <v>28800</v>
      </c>
      <c r="D26" s="5">
        <f t="shared" si="2"/>
        <v>50400</v>
      </c>
    </row>
    <row r="27" spans="1:4" ht="34.5">
      <c r="A27" s="1"/>
      <c r="B27" s="1"/>
      <c r="C27" s="1"/>
      <c r="D27" s="1"/>
    </row>
  </sheetData>
  <mergeCells count="1">
    <mergeCell ref="A1:D1"/>
  </mergeCells>
  <pageMargins left="0.7" right="0.7" top="0.75" bottom="0.75" header="0.3" footer="0.3"/>
  <pageSetup orientation="portrait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opLeftCell="C1" workbookViewId="0">
      <selection activeCell="I7" sqref="I7:J7"/>
    </sheetView>
  </sheetViews>
  <sheetFormatPr baseColWidth="10" defaultRowHeight="14.25"/>
  <cols>
    <col min="1" max="1" width="15.875" customWidth="1"/>
    <col min="2" max="2" width="13.75" customWidth="1"/>
    <col min="3" max="3" width="14.25" customWidth="1"/>
    <col min="4" max="4" width="10.25" customWidth="1"/>
    <col min="5" max="5" width="14.375" customWidth="1"/>
    <col min="6" max="6" width="19.875" customWidth="1"/>
    <col min="7" max="9" width="16.75" customWidth="1"/>
    <col min="10" max="10" width="17.875" customWidth="1"/>
    <col min="11" max="11" width="24.125" customWidth="1"/>
  </cols>
  <sheetData>
    <row r="1" spans="1:10" ht="20.25">
      <c r="A1" s="233" t="s">
        <v>9</v>
      </c>
      <c r="B1" s="233"/>
      <c r="C1" s="233"/>
      <c r="D1" s="233"/>
      <c r="E1" s="233"/>
      <c r="F1" s="233"/>
    </row>
    <row r="2" spans="1:10" ht="20.25">
      <c r="A2" s="6"/>
      <c r="B2" s="232" t="s">
        <v>0</v>
      </c>
      <c r="C2" s="232"/>
      <c r="D2" s="6"/>
      <c r="E2" s="232" t="s">
        <v>7</v>
      </c>
      <c r="F2" s="232"/>
      <c r="G2" s="6" t="s">
        <v>3</v>
      </c>
      <c r="H2" s="15"/>
      <c r="I2" s="10" t="s">
        <v>12</v>
      </c>
    </row>
    <row r="3" spans="1:10" ht="15.75">
      <c r="A3" s="16" t="s">
        <v>8</v>
      </c>
      <c r="B3" s="16" t="s">
        <v>1</v>
      </c>
      <c r="C3" s="16" t="s">
        <v>2</v>
      </c>
      <c r="D3" s="16" t="s">
        <v>5</v>
      </c>
      <c r="E3" s="16" t="s">
        <v>4</v>
      </c>
      <c r="F3" s="23" t="s">
        <v>6</v>
      </c>
      <c r="G3" s="16" t="s">
        <v>13</v>
      </c>
      <c r="H3" s="24"/>
    </row>
    <row r="4" spans="1:10" ht="21" customHeight="1" thickBot="1">
      <c r="A4" s="14">
        <v>45854</v>
      </c>
      <c r="B4" s="8">
        <f>12+7+4</f>
        <v>23</v>
      </c>
      <c r="C4" s="8">
        <f>12+5+6+8</f>
        <v>31</v>
      </c>
      <c r="D4" s="8">
        <v>5</v>
      </c>
      <c r="E4" s="69">
        <v>25300</v>
      </c>
      <c r="F4" s="17">
        <v>37500</v>
      </c>
      <c r="G4" s="20">
        <f>E4+F4</f>
        <v>62800</v>
      </c>
      <c r="H4" s="28"/>
      <c r="I4" s="11" t="s">
        <v>10</v>
      </c>
      <c r="J4" s="12">
        <f>SUMIF(F4:F21,"&gt;0")</f>
        <v>718400</v>
      </c>
    </row>
    <row r="5" spans="1:10" ht="21" customHeight="1" thickBot="1">
      <c r="A5" s="14">
        <v>45855</v>
      </c>
      <c r="B5" s="8">
        <v>15</v>
      </c>
      <c r="C5" s="8">
        <v>12</v>
      </c>
      <c r="D5" s="8">
        <v>3</v>
      </c>
      <c r="E5" s="69">
        <v>15000</v>
      </c>
      <c r="F5" s="18">
        <v>17700</v>
      </c>
      <c r="G5" s="21">
        <f t="shared" ref="G5:G7" si="0">E5+F5</f>
        <v>32700</v>
      </c>
      <c r="H5" s="28"/>
      <c r="I5" s="11" t="s">
        <v>11</v>
      </c>
      <c r="J5" s="13">
        <f>SUMIF(E4:E21,"&gt;0")</f>
        <v>871000</v>
      </c>
    </row>
    <row r="6" spans="1:10" ht="21" customHeight="1" thickBot="1">
      <c r="A6" s="14">
        <v>45856</v>
      </c>
      <c r="B6" s="8">
        <f>10+8+6+6+12</f>
        <v>42</v>
      </c>
      <c r="C6" s="8">
        <f>16+12</f>
        <v>28</v>
      </c>
      <c r="D6" s="8">
        <v>1</v>
      </c>
      <c r="E6" s="69">
        <v>46000</v>
      </c>
      <c r="F6" s="18">
        <v>21000</v>
      </c>
      <c r="G6" s="21">
        <f t="shared" si="0"/>
        <v>67000</v>
      </c>
      <c r="H6" s="28"/>
      <c r="I6" t="s">
        <v>3</v>
      </c>
      <c r="J6" s="131">
        <f>J4+J5</f>
        <v>1589400</v>
      </c>
    </row>
    <row r="7" spans="1:10" ht="21" customHeight="1" thickBot="1">
      <c r="A7" s="14">
        <v>45857</v>
      </c>
      <c r="B7" s="8">
        <f>24+4+2+6+4+2+12+6+4+1+12+4</f>
        <v>81</v>
      </c>
      <c r="C7" s="8">
        <f>4+2+12+4+2+6+2+2+6+2+5+6+1+12+6</f>
        <v>72</v>
      </c>
      <c r="D7" s="8">
        <v>4</v>
      </c>
      <c r="E7" s="69">
        <f>4800+4400+4200+13600+4200+7000</f>
        <v>38200</v>
      </c>
      <c r="F7" s="19">
        <f>21600+14400+8400+6000+10800+12600+6900+7200+1200+25200+10800-600</f>
        <v>124500</v>
      </c>
      <c r="G7" s="22">
        <f t="shared" si="0"/>
        <v>162700</v>
      </c>
      <c r="H7" s="28"/>
      <c r="I7" s="234" t="s">
        <v>14</v>
      </c>
      <c r="J7" s="234"/>
    </row>
    <row r="8" spans="1:10" ht="21" customHeight="1" thickBot="1">
      <c r="A8" s="14">
        <v>45858</v>
      </c>
      <c r="B8" s="8">
        <f>4+2+3+4+5+8+6+5+4+4+4+8+6+12+6+12+6+12+7+2</f>
        <v>120</v>
      </c>
      <c r="C8" s="8">
        <f>4+1+6+4+6+5+8+4+6+4+2+8+4+1+6+3</f>
        <v>72</v>
      </c>
      <c r="D8" s="8">
        <v>10</v>
      </c>
      <c r="E8" s="69">
        <f>9900+7200+9600+12000+9300+8400+6600+18000+5400+10800+6300+2800</f>
        <v>106300</v>
      </c>
      <c r="F8" s="19">
        <f>8400+1000+3000+9400+10500+12600+8000+13200+9100+9000+12800</f>
        <v>97000</v>
      </c>
      <c r="G8" s="22">
        <f t="shared" ref="G8:G9" si="1">E8+F8</f>
        <v>203300</v>
      </c>
      <c r="I8" s="27" t="s">
        <v>1</v>
      </c>
      <c r="J8" s="27" t="s">
        <v>2</v>
      </c>
    </row>
    <row r="9" spans="1:10" ht="21" customHeight="1" thickBot="1">
      <c r="A9" s="14">
        <v>45859</v>
      </c>
      <c r="B9" s="8">
        <f>3+4+1+4+6+4+8+6</f>
        <v>36</v>
      </c>
      <c r="C9" s="8">
        <f>1+6+8+2+1+6+12</f>
        <v>36</v>
      </c>
      <c r="D9" s="8">
        <v>1</v>
      </c>
      <c r="E9" s="69">
        <f>3900+7200+13200+5400+4600+7200+12600+14400</f>
        <v>68500</v>
      </c>
      <c r="F9" s="100">
        <f>3300+4800</f>
        <v>8100</v>
      </c>
      <c r="G9" s="101">
        <f t="shared" si="1"/>
        <v>76600</v>
      </c>
      <c r="I9" s="29">
        <f>SUM(B4:B20)</f>
        <v>887</v>
      </c>
      <c r="J9" s="29">
        <f>SUM(C4:C20)</f>
        <v>625</v>
      </c>
    </row>
    <row r="10" spans="1:10" ht="21" customHeight="1" thickBot="1">
      <c r="A10" s="14">
        <v>45860</v>
      </c>
      <c r="B10" s="8">
        <f>2+6+2+6+10+3+2+6+6+12+4+6+2+6</f>
        <v>73</v>
      </c>
      <c r="C10" s="8">
        <f>2+6+2+4+6+3+12+6+2+2+6</f>
        <v>51</v>
      </c>
      <c r="D10" s="8">
        <v>5</v>
      </c>
      <c r="E10" s="69">
        <f>4200+12600+6600+12600+9000+1800+5400+21800+4200+14600</f>
        <v>92800</v>
      </c>
      <c r="F10" s="100">
        <f>2400+6300+18000+7000+5400</f>
        <v>39100</v>
      </c>
      <c r="G10" s="101">
        <f t="shared" ref="G10:G11" si="2">E10+F10</f>
        <v>131900</v>
      </c>
    </row>
    <row r="11" spans="1:10" ht="21" customHeight="1" thickBot="1">
      <c r="A11" s="14">
        <v>45861</v>
      </c>
      <c r="B11" s="8">
        <f>6+8+6+6+12+4+6+3+4+4</f>
        <v>59</v>
      </c>
      <c r="C11" s="8">
        <f>6+6+2+6+3+4+4</f>
        <v>31</v>
      </c>
      <c r="D11" s="8">
        <f>1+1</f>
        <v>2</v>
      </c>
      <c r="E11" s="69">
        <f>12600+7200+1000+6000+8400+8400</f>
        <v>43600</v>
      </c>
      <c r="F11" s="100">
        <f>5400+12600+11800+12600+6300+7200</f>
        <v>55900</v>
      </c>
      <c r="G11" s="101">
        <f t="shared" si="2"/>
        <v>99500</v>
      </c>
    </row>
    <row r="12" spans="1:10" ht="21" customHeight="1" thickBot="1">
      <c r="A12" s="14">
        <v>45862</v>
      </c>
      <c r="B12" s="8">
        <f>6+6+2</f>
        <v>14</v>
      </c>
      <c r="C12" s="8">
        <f>6+6+10+6</f>
        <v>28</v>
      </c>
      <c r="D12" s="8">
        <v>0</v>
      </c>
      <c r="E12" s="69">
        <f>5400+13700+7200</f>
        <v>26300</v>
      </c>
      <c r="F12" s="100">
        <f>7200+12600+100</f>
        <v>19900</v>
      </c>
      <c r="G12" s="101">
        <f t="shared" ref="G12" si="3">E12+F12</f>
        <v>46200</v>
      </c>
    </row>
    <row r="13" spans="1:10" ht="21" customHeight="1" thickBot="1">
      <c r="A13" s="14">
        <v>45863</v>
      </c>
      <c r="B13" s="8">
        <f>6+4+12+4+4+5+6+4+6+6</f>
        <v>57</v>
      </c>
      <c r="C13" s="8">
        <f>4+4+4+8</f>
        <v>20</v>
      </c>
      <c r="D13" s="8">
        <f>1+1+1</f>
        <v>3</v>
      </c>
      <c r="E13" s="69">
        <f>5400+8400+11800+3600+10300+5400+5400+5400+1000</f>
        <v>56700</v>
      </c>
      <c r="F13" s="100">
        <f>8400+14200</f>
        <v>22600</v>
      </c>
      <c r="G13" s="101">
        <f t="shared" ref="G13:G14" si="4">E13+F13</f>
        <v>79300</v>
      </c>
    </row>
    <row r="14" spans="1:10" ht="21" customHeight="1" thickBot="1">
      <c r="A14" s="14">
        <v>45864</v>
      </c>
      <c r="B14" s="8">
        <f>12+2+7+2+22+11+6+3+12+2+3+8+10+4+4+6+6+6</f>
        <v>126</v>
      </c>
      <c r="C14" s="8">
        <f>3+4+8+2+4+2+1+4+4+2+6+2+4+6+6+6</f>
        <v>64</v>
      </c>
      <c r="D14" s="8">
        <f>1+1+1</f>
        <v>3</v>
      </c>
      <c r="E14" s="69">
        <f>14400+9600+9000+6600+11100+5400+2700+15600+5100+8200+8400+12600+12600+5400+7200</f>
        <v>133900</v>
      </c>
      <c r="F14" s="100">
        <f>7600+1000+1200+22000+6600+16200+6000</f>
        <v>60600</v>
      </c>
      <c r="G14" s="101">
        <f t="shared" si="4"/>
        <v>194500</v>
      </c>
      <c r="I14" s="97"/>
    </row>
    <row r="15" spans="1:10" ht="21" customHeight="1" thickBot="1">
      <c r="A15" s="14">
        <v>45865</v>
      </c>
      <c r="B15" s="8">
        <f>6+3+6+6+6+3+8+4+8+12+6+6+7+3+8+6</f>
        <v>98</v>
      </c>
      <c r="C15" s="8">
        <f>6+2+6+2+3+8+4+2+12+3+6+1+9</f>
        <v>64</v>
      </c>
      <c r="D15" s="8">
        <v>1</v>
      </c>
      <c r="E15" s="69">
        <f>2700+8800+5400+6300+6000+7200+10800+5400+3600+7500+8100+5400</f>
        <v>77200</v>
      </c>
      <c r="F15" s="19">
        <f>12600+5400+1200+9600+12000+14400+12600+13500</f>
        <v>81300</v>
      </c>
      <c r="G15" s="101">
        <f>E15+F15</f>
        <v>158500</v>
      </c>
    </row>
    <row r="16" spans="1:10" ht="21" customHeight="1" thickBot="1">
      <c r="A16" s="14">
        <v>45866</v>
      </c>
      <c r="B16" s="8">
        <f>12+4+6+4+12+2</f>
        <v>40</v>
      </c>
      <c r="C16" s="8">
        <f>6+5+6</f>
        <v>17</v>
      </c>
      <c r="D16" s="8">
        <v>1</v>
      </c>
      <c r="E16" s="69">
        <f>18000+9600+10800+1700</f>
        <v>40100</v>
      </c>
      <c r="F16" s="19">
        <f>13600+3600</f>
        <v>17200</v>
      </c>
      <c r="G16" s="101">
        <f>E16+F16</f>
        <v>57300</v>
      </c>
    </row>
    <row r="17" spans="1:7" ht="21" customHeight="1" thickBot="1">
      <c r="A17" s="14">
        <v>45867</v>
      </c>
      <c r="B17" s="8">
        <f>4+6</f>
        <v>10</v>
      </c>
      <c r="C17" s="8">
        <f>8+6+5+12</f>
        <v>31</v>
      </c>
      <c r="D17" s="8">
        <v>1</v>
      </c>
      <c r="E17" s="69">
        <f>1000+3600+7200+6000+19800</f>
        <v>37600</v>
      </c>
      <c r="F17" s="19">
        <v>9600</v>
      </c>
      <c r="G17" s="101">
        <f>E17+F17</f>
        <v>47200</v>
      </c>
    </row>
    <row r="18" spans="1:7" ht="21" customHeight="1" thickBot="1">
      <c r="A18" s="14">
        <v>45868</v>
      </c>
      <c r="B18" s="8">
        <f>2+6+7+12+3+2+6</f>
        <v>38</v>
      </c>
      <c r="C18" s="8">
        <f>2+6+6+3+3</f>
        <v>20</v>
      </c>
      <c r="D18" s="8">
        <v>2</v>
      </c>
      <c r="E18" s="69">
        <f>4800+6300+10800+5400</f>
        <v>27300</v>
      </c>
      <c r="F18" s="19">
        <f>7200+12600+8300+5400</f>
        <v>33500</v>
      </c>
      <c r="G18" s="101">
        <f>E18+F18</f>
        <v>60800</v>
      </c>
    </row>
    <row r="19" spans="1:7" ht="21" customHeight="1" thickBot="1">
      <c r="A19" s="14">
        <v>45869</v>
      </c>
      <c r="B19" s="8">
        <f>6+5+6+6+6+6+3+2+8+1+6</f>
        <v>55</v>
      </c>
      <c r="C19" s="8">
        <f>5+4+4+6+5+12+6+3+2+1</f>
        <v>48</v>
      </c>
      <c r="D19" s="8">
        <v>2</v>
      </c>
      <c r="E19" s="69">
        <f>10500+6800+5400+6300+1800+5400</f>
        <v>36200</v>
      </c>
      <c r="F19" s="19">
        <f>5400+4800+12600+6000+19800+12600+2400+7200+2100</f>
        <v>72900</v>
      </c>
      <c r="G19" s="20">
        <f>E19+F19</f>
        <v>109100</v>
      </c>
    </row>
    <row r="20" spans="1:7" ht="21" customHeight="1" thickBot="1">
      <c r="A20" s="14">
        <v>45870</v>
      </c>
      <c r="B20" s="8"/>
      <c r="C20" s="8"/>
      <c r="D20" s="8"/>
      <c r="E20" s="8"/>
      <c r="F20" s="19"/>
      <c r="G20" s="20"/>
    </row>
    <row r="21" spans="1:7" ht="21" customHeight="1" thickBot="1">
      <c r="A21" s="14">
        <v>45871</v>
      </c>
      <c r="B21" s="8"/>
      <c r="C21" s="8"/>
      <c r="D21" s="8"/>
      <c r="E21" s="8"/>
      <c r="F21" s="19"/>
      <c r="G21" s="20"/>
    </row>
    <row r="22" spans="1:7" ht="21" customHeight="1" thickBot="1">
      <c r="A22" s="14">
        <v>45872</v>
      </c>
      <c r="B22" s="8"/>
      <c r="C22" s="8"/>
      <c r="D22" s="8"/>
      <c r="E22" s="8"/>
      <c r="F22" s="19"/>
      <c r="G22" s="20"/>
    </row>
    <row r="23" spans="1:7" ht="21" customHeight="1" thickBot="1">
      <c r="A23" s="14">
        <v>45873</v>
      </c>
      <c r="B23" s="8"/>
      <c r="C23" s="8"/>
      <c r="D23" s="8"/>
      <c r="E23" s="8"/>
      <c r="F23" s="19"/>
      <c r="G23" s="20"/>
    </row>
    <row r="24" spans="1:7" ht="21" customHeight="1" thickBot="1">
      <c r="A24" s="14">
        <v>45874</v>
      </c>
      <c r="B24" s="8"/>
      <c r="C24" s="8"/>
      <c r="D24" s="8"/>
      <c r="E24" s="8"/>
      <c r="F24" s="19"/>
      <c r="G24" s="20"/>
    </row>
    <row r="25" spans="1:7" ht="21" customHeight="1" thickBot="1">
      <c r="A25" s="14">
        <v>45875</v>
      </c>
      <c r="B25" s="8"/>
      <c r="C25" s="8"/>
      <c r="D25" s="8"/>
      <c r="E25" s="8"/>
      <c r="F25" s="19"/>
      <c r="G25" s="20"/>
    </row>
    <row r="26" spans="1:7" ht="21" customHeight="1" thickBot="1">
      <c r="A26" s="14">
        <v>45876</v>
      </c>
      <c r="B26" s="8"/>
      <c r="C26" s="8"/>
      <c r="D26" s="8"/>
      <c r="E26" s="8"/>
      <c r="F26" s="19"/>
      <c r="G26" s="20"/>
    </row>
    <row r="27" spans="1:7" ht="21" customHeight="1" thickBot="1">
      <c r="A27" s="14">
        <v>45877</v>
      </c>
      <c r="B27" s="8"/>
      <c r="C27" s="8"/>
      <c r="D27" s="8"/>
      <c r="E27" s="8"/>
      <c r="F27" s="19"/>
      <c r="G27" s="20"/>
    </row>
    <row r="28" spans="1:7" ht="21" customHeight="1" thickBot="1">
      <c r="A28" s="14">
        <v>45878</v>
      </c>
      <c r="B28" s="8"/>
      <c r="C28" s="8"/>
      <c r="D28" s="8"/>
      <c r="E28" s="8"/>
      <c r="F28" s="19"/>
      <c r="G28" s="20"/>
    </row>
    <row r="29" spans="1:7" ht="21" customHeight="1" thickBot="1">
      <c r="A29" s="14">
        <v>45879</v>
      </c>
      <c r="B29" s="8"/>
      <c r="C29" s="8"/>
      <c r="D29" s="8"/>
      <c r="E29" s="8"/>
      <c r="F29" s="19"/>
      <c r="G29" s="20"/>
    </row>
    <row r="30" spans="1:7" ht="21" customHeight="1" thickBot="1">
      <c r="A30" s="14"/>
      <c r="B30" s="8"/>
      <c r="C30" s="8"/>
      <c r="D30" s="8"/>
      <c r="E30" s="8"/>
      <c r="F30" s="19"/>
      <c r="G30" s="20"/>
    </row>
    <row r="31" spans="1:7" ht="21" customHeight="1" thickBot="1">
      <c r="A31" s="14"/>
      <c r="B31" s="8"/>
      <c r="C31" s="8"/>
      <c r="D31" s="8"/>
      <c r="E31" s="8"/>
      <c r="F31" s="19"/>
      <c r="G31" s="20"/>
    </row>
    <row r="32" spans="1:7" ht="21" customHeight="1" thickBot="1">
      <c r="A32" s="14"/>
      <c r="B32" s="8"/>
      <c r="C32" s="8"/>
      <c r="D32" s="8"/>
      <c r="E32" s="8"/>
      <c r="F32" s="19"/>
      <c r="G32" s="20"/>
    </row>
    <row r="33" spans="1:6" ht="21" customHeight="1">
      <c r="A33" s="14"/>
      <c r="B33" s="9"/>
      <c r="C33" s="9"/>
      <c r="D33" s="9"/>
      <c r="E33" s="9"/>
      <c r="F33" s="9"/>
    </row>
    <row r="34" spans="1:6" ht="21" customHeight="1">
      <c r="A34" s="14"/>
      <c r="B34" s="9"/>
      <c r="C34" s="9"/>
      <c r="D34" s="9"/>
      <c r="E34" s="9"/>
      <c r="F34" s="9"/>
    </row>
    <row r="35" spans="1:6" ht="21" customHeight="1">
      <c r="A35" s="14"/>
      <c r="B35" s="9"/>
      <c r="C35" s="9"/>
      <c r="D35" s="9"/>
      <c r="E35" s="9"/>
      <c r="F35" s="9"/>
    </row>
    <row r="36" spans="1:6" ht="21" customHeight="1">
      <c r="A36" s="14"/>
      <c r="B36" s="9"/>
      <c r="C36" s="9"/>
      <c r="D36" s="9"/>
      <c r="E36" s="9"/>
      <c r="F36" s="9"/>
    </row>
    <row r="37" spans="1:6" ht="21" customHeight="1">
      <c r="A37" s="14"/>
      <c r="B37" s="9"/>
      <c r="C37" s="9"/>
      <c r="D37" s="9"/>
      <c r="E37" s="9"/>
      <c r="F37" s="9"/>
    </row>
    <row r="38" spans="1:6" ht="21" customHeight="1">
      <c r="A38" s="14"/>
      <c r="B38" s="9"/>
      <c r="C38" s="9"/>
      <c r="D38" s="9"/>
      <c r="E38" s="9"/>
      <c r="F38" s="9"/>
    </row>
    <row r="39" spans="1:6" ht="21" customHeight="1">
      <c r="A39" s="14"/>
      <c r="B39" s="9"/>
      <c r="C39" s="9"/>
      <c r="D39" s="9"/>
      <c r="E39" s="9"/>
      <c r="F39" s="9"/>
    </row>
    <row r="40" spans="1:6" ht="21" customHeight="1">
      <c r="A40" s="14"/>
      <c r="B40" s="9"/>
      <c r="C40" s="9"/>
      <c r="D40" s="9"/>
      <c r="E40" s="9"/>
      <c r="F40" s="9"/>
    </row>
    <row r="41" spans="1:6" ht="21" customHeight="1">
      <c r="A41" s="9"/>
      <c r="B41" s="9"/>
      <c r="C41" s="9"/>
      <c r="D41" s="9"/>
      <c r="E41" s="9"/>
      <c r="F41" s="9"/>
    </row>
    <row r="42" spans="1:6" ht="20.25">
      <c r="A42" s="7"/>
      <c r="B42" s="7"/>
      <c r="C42" s="7"/>
      <c r="D42" s="7"/>
      <c r="E42" s="7"/>
      <c r="F42" s="7"/>
    </row>
    <row r="43" spans="1:6" ht="20.25">
      <c r="A43" s="7"/>
      <c r="B43" s="7"/>
      <c r="C43" s="7"/>
      <c r="D43" s="7"/>
      <c r="E43" s="7"/>
      <c r="F43" s="7"/>
    </row>
    <row r="44" spans="1:6" ht="20.25">
      <c r="A44" s="7"/>
      <c r="B44" s="7"/>
      <c r="C44" s="7"/>
      <c r="D44" s="7"/>
      <c r="E44" s="7"/>
      <c r="F44" s="7"/>
    </row>
  </sheetData>
  <mergeCells count="4">
    <mergeCell ref="B2:C2"/>
    <mergeCell ref="E2:F2"/>
    <mergeCell ref="A1:F1"/>
    <mergeCell ref="I7:J7"/>
  </mergeCells>
  <pageMargins left="0.7" right="0.7" top="0.75" bottom="0.75" header="0.3" footer="0.3"/>
  <pageSetup orientation="portrait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zoomScale="93" zoomScaleNormal="93" workbookViewId="0">
      <pane ySplit="3" topLeftCell="A19" activePane="bottomLeft" state="frozen"/>
      <selection activeCell="F39" sqref="F39"/>
      <selection pane="bottomLeft" activeCell="A34" sqref="A34:XFD35"/>
    </sheetView>
  </sheetViews>
  <sheetFormatPr baseColWidth="10" defaultRowHeight="14.25"/>
  <cols>
    <col min="1" max="1" width="11.375" style="25"/>
    <col min="2" max="2" width="9.375" style="25" customWidth="1"/>
    <col min="3" max="3" width="19" style="25" customWidth="1"/>
    <col min="4" max="4" width="32.125" style="25" customWidth="1"/>
    <col min="5" max="5" width="10.125" style="25" customWidth="1"/>
    <col min="6" max="6" width="95.25" style="25" customWidth="1"/>
    <col min="7" max="7" width="15.75" style="25" customWidth="1"/>
    <col min="8" max="8" width="15.25" style="57" hidden="1" customWidth="1"/>
    <col min="9" max="9" width="15.625" style="57" hidden="1" customWidth="1"/>
    <col min="10" max="10" width="13.25" style="57" hidden="1" customWidth="1"/>
    <col min="11" max="11" width="15.625" style="25" customWidth="1"/>
    <col min="12" max="12" width="16.375" bestFit="1" customWidth="1"/>
  </cols>
  <sheetData>
    <row r="1" spans="1:12" s="85" customFormat="1">
      <c r="A1" s="80" t="s">
        <v>15</v>
      </c>
      <c r="B1" s="81"/>
      <c r="C1" s="81"/>
      <c r="D1" s="81"/>
      <c r="E1" s="81"/>
      <c r="F1" s="81"/>
      <c r="G1" s="81"/>
      <c r="H1" s="82"/>
      <c r="I1" s="82"/>
      <c r="J1" s="82"/>
      <c r="K1" s="83"/>
      <c r="L1" s="84"/>
    </row>
    <row r="2" spans="1:12" s="85" customFormat="1">
      <c r="A2" s="86"/>
      <c r="B2" s="87"/>
      <c r="C2" s="87"/>
      <c r="D2" s="87"/>
      <c r="E2" s="87"/>
      <c r="F2" s="87"/>
      <c r="G2" s="87"/>
      <c r="H2" s="88"/>
      <c r="I2" s="88"/>
      <c r="J2" s="88"/>
      <c r="K2" s="235" t="s">
        <v>25</v>
      </c>
      <c r="L2" s="235"/>
    </row>
    <row r="3" spans="1:12" s="85" customFormat="1">
      <c r="A3" s="90" t="s">
        <v>16</v>
      </c>
      <c r="B3" s="90" t="s">
        <v>17</v>
      </c>
      <c r="C3" s="90" t="s">
        <v>18</v>
      </c>
      <c r="D3" s="90" t="s">
        <v>19</v>
      </c>
      <c r="E3" s="90" t="s">
        <v>87</v>
      </c>
      <c r="F3" s="90" t="s">
        <v>20</v>
      </c>
      <c r="G3" s="90" t="s">
        <v>21</v>
      </c>
      <c r="H3" s="91" t="s">
        <v>22</v>
      </c>
      <c r="I3" s="91" t="s">
        <v>23</v>
      </c>
      <c r="J3" s="91" t="s">
        <v>24</v>
      </c>
      <c r="K3" s="89" t="s">
        <v>4</v>
      </c>
      <c r="L3" s="92" t="s">
        <v>37</v>
      </c>
    </row>
    <row r="4" spans="1:12">
      <c r="A4" s="30"/>
      <c r="B4" s="30"/>
      <c r="C4" s="31"/>
      <c r="D4" s="30"/>
      <c r="E4" s="31"/>
      <c r="F4" s="32"/>
      <c r="G4" s="33"/>
      <c r="H4" s="34"/>
      <c r="I4" s="34"/>
      <c r="J4" s="34"/>
      <c r="K4" s="31"/>
      <c r="L4" s="26"/>
    </row>
    <row r="5" spans="1:12">
      <c r="A5" s="66">
        <v>45823</v>
      </c>
      <c r="B5" s="66" t="s">
        <v>49</v>
      </c>
      <c r="C5" s="67" t="s">
        <v>50</v>
      </c>
      <c r="D5" s="66" t="s">
        <v>51</v>
      </c>
      <c r="E5" s="67"/>
      <c r="F5" s="68" t="s">
        <v>52</v>
      </c>
      <c r="G5" s="34">
        <v>17500</v>
      </c>
      <c r="H5" s="34"/>
      <c r="I5" s="34"/>
      <c r="J5" s="34"/>
      <c r="K5" s="34">
        <v>17500</v>
      </c>
      <c r="L5" s="34"/>
    </row>
    <row r="6" spans="1:12">
      <c r="A6" s="66">
        <v>45823</v>
      </c>
      <c r="B6" s="66" t="s">
        <v>49</v>
      </c>
      <c r="C6" s="67" t="s">
        <v>53</v>
      </c>
      <c r="D6" s="66" t="s">
        <v>54</v>
      </c>
      <c r="E6" s="67"/>
      <c r="F6" s="68" t="s">
        <v>55</v>
      </c>
      <c r="G6" s="34">
        <v>66900</v>
      </c>
      <c r="H6" s="34"/>
      <c r="I6" s="34"/>
      <c r="J6" s="34"/>
      <c r="K6" s="34">
        <v>66900</v>
      </c>
      <c r="L6" s="34"/>
    </row>
    <row r="7" spans="1:12">
      <c r="A7" s="66">
        <v>45823</v>
      </c>
      <c r="B7" s="66" t="s">
        <v>49</v>
      </c>
      <c r="C7" s="67" t="s">
        <v>46</v>
      </c>
      <c r="D7" s="66" t="s">
        <v>56</v>
      </c>
      <c r="E7" s="67"/>
      <c r="F7" s="68" t="s">
        <v>57</v>
      </c>
      <c r="G7" s="34">
        <v>10143.98</v>
      </c>
      <c r="H7" s="34"/>
      <c r="I7" s="34"/>
      <c r="J7" s="34"/>
      <c r="K7" s="34">
        <v>10143.98</v>
      </c>
      <c r="L7" s="34"/>
    </row>
    <row r="8" spans="1:12">
      <c r="A8" s="66">
        <v>45823</v>
      </c>
      <c r="B8" s="66" t="s">
        <v>49</v>
      </c>
      <c r="C8" s="67" t="s">
        <v>58</v>
      </c>
      <c r="D8" s="66" t="s">
        <v>59</v>
      </c>
      <c r="E8" s="67"/>
      <c r="F8" s="68" t="s">
        <v>60</v>
      </c>
      <c r="G8" s="34">
        <v>16000</v>
      </c>
      <c r="H8" s="34"/>
      <c r="I8" s="34"/>
      <c r="J8" s="34"/>
      <c r="K8" s="34">
        <v>16000</v>
      </c>
      <c r="L8" s="34"/>
    </row>
    <row r="9" spans="1:12" s="99" customFormat="1">
      <c r="A9" s="122">
        <v>45823</v>
      </c>
      <c r="B9" s="122" t="s">
        <v>29</v>
      </c>
      <c r="C9" s="123" t="s">
        <v>46</v>
      </c>
      <c r="D9" s="122" t="s">
        <v>44</v>
      </c>
      <c r="E9" s="123"/>
      <c r="F9" s="124" t="s">
        <v>61</v>
      </c>
      <c r="G9" s="125">
        <v>31717</v>
      </c>
      <c r="H9" s="125"/>
      <c r="I9" s="125"/>
      <c r="J9" s="125"/>
      <c r="K9" s="125">
        <v>31717</v>
      </c>
      <c r="L9" s="125"/>
    </row>
    <row r="10" spans="1:12">
      <c r="A10" s="66">
        <v>45823</v>
      </c>
      <c r="B10" s="66" t="s">
        <v>49</v>
      </c>
      <c r="C10" s="67" t="s">
        <v>62</v>
      </c>
      <c r="D10" s="66" t="s">
        <v>63</v>
      </c>
      <c r="E10" s="67"/>
      <c r="F10" s="68" t="s">
        <v>64</v>
      </c>
      <c r="G10" s="34">
        <v>6600</v>
      </c>
      <c r="H10" s="34"/>
      <c r="I10" s="34"/>
      <c r="J10" s="34"/>
      <c r="K10" s="34">
        <v>6600</v>
      </c>
      <c r="L10" s="34"/>
    </row>
    <row r="11" spans="1:12">
      <c r="A11" s="66">
        <v>45823</v>
      </c>
      <c r="B11" s="66" t="s">
        <v>49</v>
      </c>
      <c r="C11" s="67" t="s">
        <v>65</v>
      </c>
      <c r="D11" s="66" t="s">
        <v>66</v>
      </c>
      <c r="E11" s="67"/>
      <c r="F11" s="68" t="s">
        <v>67</v>
      </c>
      <c r="G11" s="34">
        <v>8200</v>
      </c>
      <c r="H11" s="34"/>
      <c r="I11" s="34"/>
      <c r="J11" s="34"/>
      <c r="K11" s="34">
        <v>8200</v>
      </c>
      <c r="L11" s="34"/>
    </row>
    <row r="12" spans="1:12" s="99" customFormat="1">
      <c r="A12" s="122">
        <v>45823</v>
      </c>
      <c r="B12" s="122" t="s">
        <v>29</v>
      </c>
      <c r="C12" s="123" t="s">
        <v>68</v>
      </c>
      <c r="D12" s="122" t="s">
        <v>71</v>
      </c>
      <c r="E12" s="123"/>
      <c r="F12" s="124" t="s">
        <v>70</v>
      </c>
      <c r="G12" s="125">
        <v>124000</v>
      </c>
      <c r="H12" s="125"/>
      <c r="I12" s="125"/>
      <c r="J12" s="125"/>
      <c r="K12" s="125">
        <v>124000</v>
      </c>
      <c r="L12" s="125"/>
    </row>
    <row r="13" spans="1:12" s="99" customFormat="1">
      <c r="A13" s="122">
        <v>45823</v>
      </c>
      <c r="B13" s="122" t="s">
        <v>29</v>
      </c>
      <c r="C13" s="123" t="s">
        <v>72</v>
      </c>
      <c r="D13" s="122" t="s">
        <v>69</v>
      </c>
      <c r="E13" s="123"/>
      <c r="F13" s="124" t="s">
        <v>73</v>
      </c>
      <c r="G13" s="125">
        <v>140000</v>
      </c>
      <c r="H13" s="125"/>
      <c r="I13" s="125"/>
      <c r="J13" s="125"/>
      <c r="K13" s="125">
        <v>140000</v>
      </c>
      <c r="L13" s="125"/>
    </row>
    <row r="14" spans="1:12">
      <c r="A14" s="30"/>
      <c r="B14" s="30"/>
      <c r="C14" s="31"/>
      <c r="D14" s="30"/>
      <c r="E14" s="31"/>
      <c r="F14" s="32"/>
      <c r="G14" s="33"/>
      <c r="H14" s="34"/>
      <c r="I14" s="34"/>
      <c r="J14" s="34"/>
      <c r="K14" s="33"/>
      <c r="L14" s="33"/>
    </row>
    <row r="15" spans="1:12">
      <c r="A15" s="35">
        <v>45854</v>
      </c>
      <c r="B15" s="37" t="s">
        <v>29</v>
      </c>
      <c r="C15" s="37" t="s">
        <v>30</v>
      </c>
      <c r="D15" s="35" t="s">
        <v>33</v>
      </c>
      <c r="E15" s="37">
        <v>400</v>
      </c>
      <c r="F15" s="38" t="s">
        <v>34</v>
      </c>
      <c r="G15" s="33">
        <f>156*400</f>
        <v>62400</v>
      </c>
      <c r="H15" s="39"/>
      <c r="I15" s="39"/>
      <c r="J15" s="39"/>
      <c r="K15" s="33"/>
      <c r="L15" s="33"/>
    </row>
    <row r="16" spans="1:12">
      <c r="A16" s="47">
        <v>45854</v>
      </c>
      <c r="B16" s="48" t="s">
        <v>29</v>
      </c>
      <c r="C16" s="48" t="s">
        <v>31</v>
      </c>
      <c r="D16" s="47" t="s">
        <v>33</v>
      </c>
      <c r="E16" s="48">
        <v>300</v>
      </c>
      <c r="F16" s="49" t="s">
        <v>80</v>
      </c>
      <c r="G16" s="33">
        <f>333*300</f>
        <v>99900</v>
      </c>
      <c r="H16" s="51"/>
      <c r="I16" s="51"/>
      <c r="J16" s="51"/>
      <c r="K16" s="33"/>
      <c r="L16" s="33"/>
    </row>
    <row r="17" spans="1:12">
      <c r="A17" s="40">
        <v>45854</v>
      </c>
      <c r="B17" s="42" t="s">
        <v>29</v>
      </c>
      <c r="C17" s="42" t="s">
        <v>32</v>
      </c>
      <c r="D17" s="40" t="s">
        <v>33</v>
      </c>
      <c r="E17" s="42">
        <v>1</v>
      </c>
      <c r="F17" s="43" t="s">
        <v>36</v>
      </c>
      <c r="G17" s="33">
        <v>41032</v>
      </c>
      <c r="H17" s="44"/>
      <c r="I17" s="44"/>
      <c r="J17" s="44"/>
      <c r="K17" s="33">
        <f>SUM(G15:G17)</f>
        <v>203332</v>
      </c>
      <c r="L17" s="33"/>
    </row>
    <row r="18" spans="1:12">
      <c r="A18" s="30">
        <v>45853</v>
      </c>
      <c r="B18" s="31" t="s">
        <v>29</v>
      </c>
      <c r="C18" s="31" t="s">
        <v>38</v>
      </c>
      <c r="D18" s="30" t="s">
        <v>39</v>
      </c>
      <c r="E18" s="31">
        <v>3</v>
      </c>
      <c r="F18" s="32" t="s">
        <v>40</v>
      </c>
      <c r="G18" s="33">
        <v>21000</v>
      </c>
      <c r="H18" s="34"/>
      <c r="I18" s="34"/>
      <c r="J18" s="34"/>
      <c r="K18" s="33">
        <f>+G18</f>
        <v>21000</v>
      </c>
      <c r="L18" s="33"/>
    </row>
    <row r="19" spans="1:12">
      <c r="A19" s="30">
        <v>45855</v>
      </c>
      <c r="B19" s="30" t="s">
        <v>41</v>
      </c>
      <c r="C19" s="31" t="s">
        <v>26</v>
      </c>
      <c r="D19" s="30" t="s">
        <v>42</v>
      </c>
      <c r="E19" s="31"/>
      <c r="F19" s="32" t="s">
        <v>43</v>
      </c>
      <c r="G19" s="33">
        <v>20000</v>
      </c>
      <c r="H19" s="34"/>
      <c r="I19" s="34"/>
      <c r="J19" s="34"/>
      <c r="K19" s="33"/>
      <c r="L19" s="33">
        <v>20000</v>
      </c>
    </row>
    <row r="20" spans="1:12">
      <c r="A20" s="30">
        <v>45855</v>
      </c>
      <c r="B20" s="30" t="s">
        <v>41</v>
      </c>
      <c r="C20" s="31" t="s">
        <v>46</v>
      </c>
      <c r="D20" s="30" t="s">
        <v>44</v>
      </c>
      <c r="E20" s="31"/>
      <c r="F20" s="32" t="s">
        <v>45</v>
      </c>
      <c r="G20" s="33">
        <v>13700</v>
      </c>
      <c r="H20" s="34"/>
      <c r="I20" s="34"/>
      <c r="J20" s="34"/>
      <c r="K20" s="33"/>
      <c r="L20" s="33">
        <v>13700</v>
      </c>
    </row>
    <row r="21" spans="1:12">
      <c r="A21" s="30">
        <v>45856</v>
      </c>
      <c r="B21" s="30" t="s">
        <v>41</v>
      </c>
      <c r="C21" s="31" t="s">
        <v>32</v>
      </c>
      <c r="D21" s="30" t="s">
        <v>47</v>
      </c>
      <c r="E21" s="31">
        <v>1</v>
      </c>
      <c r="F21" s="32" t="s">
        <v>48</v>
      </c>
      <c r="G21" s="33">
        <v>25000</v>
      </c>
      <c r="H21" s="34"/>
      <c r="I21" s="34"/>
      <c r="J21" s="34"/>
      <c r="K21" s="33">
        <v>25000</v>
      </c>
      <c r="L21" s="33"/>
    </row>
    <row r="22" spans="1:12">
      <c r="A22" s="30">
        <v>45859</v>
      </c>
      <c r="B22" s="31" t="s">
        <v>41</v>
      </c>
      <c r="C22" s="31" t="s">
        <v>58</v>
      </c>
      <c r="D22" s="31" t="s">
        <v>59</v>
      </c>
      <c r="E22" s="31"/>
      <c r="F22" s="32" t="s">
        <v>76</v>
      </c>
      <c r="G22" s="33">
        <v>16000</v>
      </c>
      <c r="H22" s="33"/>
      <c r="I22" s="33"/>
      <c r="J22" s="33"/>
      <c r="K22" s="33">
        <v>16000</v>
      </c>
      <c r="L22" s="33"/>
    </row>
    <row r="23" spans="1:12">
      <c r="A23" s="30">
        <v>45859</v>
      </c>
      <c r="B23" s="31" t="s">
        <v>41</v>
      </c>
      <c r="C23" s="31" t="s">
        <v>46</v>
      </c>
      <c r="D23" s="31" t="s">
        <v>56</v>
      </c>
      <c r="E23" s="31"/>
      <c r="F23" s="32" t="s">
        <v>77</v>
      </c>
      <c r="G23" s="33">
        <v>10143.98</v>
      </c>
      <c r="H23" s="33"/>
      <c r="I23" s="33"/>
      <c r="J23" s="33"/>
      <c r="K23" s="33"/>
      <c r="L23" s="33">
        <v>10143.98</v>
      </c>
    </row>
    <row r="24" spans="1:12">
      <c r="A24" s="35">
        <v>45863</v>
      </c>
      <c r="B24" s="37" t="s">
        <v>41</v>
      </c>
      <c r="C24" s="37" t="s">
        <v>30</v>
      </c>
      <c r="D24" s="35" t="s">
        <v>33</v>
      </c>
      <c r="E24" s="37">
        <v>200</v>
      </c>
      <c r="F24" s="38" t="s">
        <v>78</v>
      </c>
      <c r="G24" s="52">
        <f>156*200</f>
        <v>31200</v>
      </c>
      <c r="H24" s="34"/>
      <c r="I24" s="34"/>
      <c r="J24" s="34"/>
      <c r="K24" s="52"/>
      <c r="L24" s="52"/>
    </row>
    <row r="25" spans="1:12">
      <c r="A25" s="47">
        <v>45863</v>
      </c>
      <c r="B25" s="48" t="s">
        <v>41</v>
      </c>
      <c r="C25" s="48" t="s">
        <v>31</v>
      </c>
      <c r="D25" s="47" t="s">
        <v>33</v>
      </c>
      <c r="E25" s="48">
        <v>400</v>
      </c>
      <c r="F25" s="49" t="s">
        <v>35</v>
      </c>
      <c r="G25" s="50">
        <f>333*400</f>
        <v>133200</v>
      </c>
      <c r="H25" s="34"/>
      <c r="I25" s="34"/>
      <c r="J25" s="34"/>
      <c r="K25" s="50"/>
      <c r="L25" s="50"/>
    </row>
    <row r="26" spans="1:12">
      <c r="A26" s="40">
        <v>45863</v>
      </c>
      <c r="B26" s="42" t="s">
        <v>41</v>
      </c>
      <c r="C26" s="42" t="s">
        <v>32</v>
      </c>
      <c r="D26" s="40" t="s">
        <v>33</v>
      </c>
      <c r="E26" s="42">
        <v>1</v>
      </c>
      <c r="F26" s="43" t="s">
        <v>48</v>
      </c>
      <c r="G26" s="45">
        <v>22500</v>
      </c>
      <c r="H26" s="34"/>
      <c r="I26" s="34"/>
      <c r="J26" s="34"/>
      <c r="K26" s="45">
        <f>SUM(G24:G26)</f>
        <v>186900</v>
      </c>
      <c r="L26" s="45"/>
    </row>
    <row r="27" spans="1:12">
      <c r="A27" s="30">
        <v>45860</v>
      </c>
      <c r="B27" s="30" t="s">
        <v>41</v>
      </c>
      <c r="C27" s="31" t="s">
        <v>32</v>
      </c>
      <c r="D27" s="30" t="s">
        <v>47</v>
      </c>
      <c r="E27" s="31">
        <v>2</v>
      </c>
      <c r="F27" s="32" t="s">
        <v>79</v>
      </c>
      <c r="G27" s="33">
        <f>2*25000</f>
        <v>50000</v>
      </c>
      <c r="H27" s="34"/>
      <c r="I27" s="34"/>
      <c r="J27" s="34"/>
      <c r="K27" s="33">
        <v>50000</v>
      </c>
      <c r="L27" s="33"/>
    </row>
    <row r="28" spans="1:12">
      <c r="A28" s="93">
        <v>45862</v>
      </c>
      <c r="B28" s="93" t="s">
        <v>41</v>
      </c>
      <c r="C28" s="94" t="s">
        <v>82</v>
      </c>
      <c r="D28" s="93" t="s">
        <v>83</v>
      </c>
      <c r="E28" s="94"/>
      <c r="F28" s="95" t="s">
        <v>81</v>
      </c>
      <c r="G28" s="96">
        <v>100000</v>
      </c>
      <c r="H28" s="96"/>
      <c r="I28" s="96"/>
      <c r="J28" s="96"/>
      <c r="K28" s="96">
        <v>-100000</v>
      </c>
      <c r="L28" s="96">
        <v>100000</v>
      </c>
    </row>
    <row r="29" spans="1:12">
      <c r="A29" s="30">
        <v>45863</v>
      </c>
      <c r="B29" s="46" t="s">
        <v>41</v>
      </c>
      <c r="C29" s="31" t="s">
        <v>38</v>
      </c>
      <c r="D29" s="30" t="s">
        <v>84</v>
      </c>
      <c r="E29" s="31">
        <v>5</v>
      </c>
      <c r="F29" s="32" t="s">
        <v>85</v>
      </c>
      <c r="G29" s="33">
        <f>7000*5</f>
        <v>35000</v>
      </c>
      <c r="H29" s="34"/>
      <c r="I29" s="34"/>
      <c r="J29" s="34"/>
      <c r="K29" s="33">
        <f>+G29</f>
        <v>35000</v>
      </c>
      <c r="L29" s="33"/>
    </row>
    <row r="30" spans="1:12">
      <c r="A30" s="35">
        <v>45863</v>
      </c>
      <c r="B30" s="37" t="s">
        <v>41</v>
      </c>
      <c r="C30" s="37" t="s">
        <v>30</v>
      </c>
      <c r="D30" s="35" t="s">
        <v>33</v>
      </c>
      <c r="E30" s="37">
        <v>200</v>
      </c>
      <c r="F30" s="38" t="s">
        <v>78</v>
      </c>
      <c r="G30" s="52">
        <f>156*200</f>
        <v>31200</v>
      </c>
      <c r="H30" s="34"/>
      <c r="I30" s="34"/>
      <c r="J30" s="34"/>
      <c r="K30" s="52"/>
      <c r="L30" s="52"/>
    </row>
    <row r="31" spans="1:12">
      <c r="A31" s="47">
        <v>45863</v>
      </c>
      <c r="B31" s="48" t="s">
        <v>41</v>
      </c>
      <c r="C31" s="48" t="s">
        <v>31</v>
      </c>
      <c r="D31" s="47" t="s">
        <v>33</v>
      </c>
      <c r="E31" s="48">
        <v>200</v>
      </c>
      <c r="F31" s="49" t="s">
        <v>86</v>
      </c>
      <c r="G31" s="50">
        <f>333*200</f>
        <v>66600</v>
      </c>
      <c r="H31" s="34"/>
      <c r="I31" s="34"/>
      <c r="J31" s="34"/>
      <c r="K31" s="45">
        <f>G30+G31</f>
        <v>97800</v>
      </c>
      <c r="L31" s="45"/>
    </row>
    <row r="32" spans="1:12">
      <c r="A32" s="35">
        <v>45866</v>
      </c>
      <c r="B32" s="37" t="s">
        <v>41</v>
      </c>
      <c r="C32" s="37" t="s">
        <v>30</v>
      </c>
      <c r="D32" s="35" t="s">
        <v>33</v>
      </c>
      <c r="E32" s="37">
        <v>400</v>
      </c>
      <c r="F32" s="38" t="s">
        <v>34</v>
      </c>
      <c r="G32" s="52">
        <f>156*400</f>
        <v>62400</v>
      </c>
      <c r="H32" s="34"/>
      <c r="I32" s="34"/>
      <c r="J32" s="34"/>
      <c r="K32" s="52"/>
      <c r="L32" s="52"/>
    </row>
    <row r="33" spans="1:12" ht="15" thickBot="1">
      <c r="A33" s="47">
        <v>45866</v>
      </c>
      <c r="B33" s="48" t="s">
        <v>41</v>
      </c>
      <c r="C33" s="48" t="s">
        <v>32</v>
      </c>
      <c r="D33" s="47" t="s">
        <v>33</v>
      </c>
      <c r="E33" s="48">
        <v>1</v>
      </c>
      <c r="F33" s="49" t="s">
        <v>48</v>
      </c>
      <c r="G33" s="50">
        <v>22500</v>
      </c>
      <c r="H33" s="39"/>
      <c r="I33" s="39"/>
      <c r="J33" s="39"/>
      <c r="K33" s="50">
        <f>SUM(G32:J33)</f>
        <v>84900</v>
      </c>
      <c r="L33" s="50"/>
    </row>
    <row r="34" spans="1:12">
      <c r="A34" s="103">
        <v>45869</v>
      </c>
      <c r="B34" s="104" t="s">
        <v>41</v>
      </c>
      <c r="C34" s="105" t="s">
        <v>88</v>
      </c>
      <c r="D34" s="104" t="s">
        <v>89</v>
      </c>
      <c r="E34" s="105"/>
      <c r="F34" s="106" t="s">
        <v>90</v>
      </c>
      <c r="G34" s="107">
        <v>200000</v>
      </c>
      <c r="H34" s="107"/>
      <c r="I34" s="107"/>
      <c r="J34" s="107"/>
      <c r="K34" s="107">
        <v>200000</v>
      </c>
      <c r="L34" s="108">
        <v>0</v>
      </c>
    </row>
    <row r="35" spans="1:12" ht="15" thickBot="1">
      <c r="A35" s="109">
        <v>45869</v>
      </c>
      <c r="B35" s="110" t="s">
        <v>41</v>
      </c>
      <c r="C35" s="111" t="s">
        <v>88</v>
      </c>
      <c r="D35" s="110" t="s">
        <v>91</v>
      </c>
      <c r="E35" s="111"/>
      <c r="F35" s="112" t="s">
        <v>92</v>
      </c>
      <c r="G35" s="113">
        <v>200000</v>
      </c>
      <c r="H35" s="113"/>
      <c r="I35" s="113"/>
      <c r="J35" s="113"/>
      <c r="K35" s="113">
        <v>0</v>
      </c>
      <c r="L35" s="114">
        <v>200000</v>
      </c>
    </row>
    <row r="36" spans="1:12">
      <c r="A36" s="40"/>
      <c r="B36" s="40"/>
      <c r="C36" s="42"/>
      <c r="D36" s="40"/>
      <c r="E36" s="42"/>
      <c r="F36" s="43"/>
      <c r="G36" s="45"/>
      <c r="H36" s="44"/>
      <c r="I36" s="44"/>
      <c r="J36" s="44"/>
      <c r="K36" s="45"/>
      <c r="L36" s="102"/>
    </row>
    <row r="37" spans="1:12">
      <c r="A37" s="30"/>
      <c r="B37" s="30"/>
      <c r="C37" s="31"/>
      <c r="D37" s="30"/>
      <c r="E37" s="31"/>
      <c r="F37" s="32"/>
      <c r="G37" s="56"/>
      <c r="H37" s="34">
        <f>+(G37-J37)-(G37-J37)/1.21</f>
        <v>0</v>
      </c>
      <c r="I37" s="34"/>
      <c r="J37" s="34"/>
      <c r="K37" s="31"/>
      <c r="L37" s="26"/>
    </row>
    <row r="38" spans="1:12" ht="15" thickBot="1">
      <c r="A38" s="79" t="s">
        <v>27</v>
      </c>
      <c r="B38" s="79"/>
      <c r="C38" s="79"/>
      <c r="D38" s="79"/>
      <c r="E38" s="79"/>
      <c r="F38" s="79"/>
      <c r="G38" s="54"/>
      <c r="H38" s="55"/>
      <c r="I38" s="55"/>
      <c r="J38" s="55"/>
      <c r="K38" s="54"/>
    </row>
    <row r="39" spans="1:12">
      <c r="A39" s="30"/>
      <c r="B39" s="30"/>
      <c r="C39" s="31"/>
      <c r="D39" s="30"/>
      <c r="E39" s="31"/>
      <c r="F39" s="32"/>
      <c r="G39" s="33"/>
      <c r="H39" s="34"/>
      <c r="I39" s="34"/>
      <c r="J39" s="34"/>
      <c r="K39" s="56"/>
    </row>
    <row r="40" spans="1:12" ht="15" thickBot="1"/>
    <row r="41" spans="1:12" ht="15" thickBot="1">
      <c r="F41" s="58"/>
      <c r="G41" s="59"/>
      <c r="H41" s="60"/>
      <c r="I41" s="60"/>
      <c r="J41" s="60"/>
      <c r="K41" s="61"/>
      <c r="L41" s="61"/>
    </row>
    <row r="42" spans="1:12" ht="15" thickBot="1">
      <c r="B42" s="62"/>
      <c r="F42" s="63" t="s">
        <v>28</v>
      </c>
      <c r="G42" s="64">
        <f>SUM(G14:G41)</f>
        <v>1263775.98</v>
      </c>
      <c r="H42" s="65">
        <f>SUM(H14:H41)</f>
        <v>0</v>
      </c>
      <c r="I42" s="65">
        <f>SUM(I14:I41)</f>
        <v>0</v>
      </c>
      <c r="J42" s="65">
        <f>SUM(J14:J40)</f>
        <v>0</v>
      </c>
      <c r="K42" s="64">
        <f>SUM(K15:K41)</f>
        <v>819932</v>
      </c>
      <c r="L42" s="64">
        <f>SUM(L4:L40)</f>
        <v>343843.98</v>
      </c>
    </row>
    <row r="45" spans="1:12">
      <c r="H45" s="57">
        <f>+H42/0.105</f>
        <v>0</v>
      </c>
      <c r="I45" s="57">
        <f>+I42/0.105</f>
        <v>0</v>
      </c>
    </row>
  </sheetData>
  <autoFilter ref="A5:G35" xr:uid="{00000000-0009-0000-0000-000002000000}"/>
  <mergeCells count="1"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0"/>
  <sheetViews>
    <sheetView topLeftCell="D1" zoomScale="93" zoomScaleNormal="93" workbookViewId="0">
      <pane ySplit="3" topLeftCell="A7" activePane="bottomLeft" state="frozen"/>
      <selection activeCell="F39" sqref="F39"/>
      <selection pane="bottomLeft" activeCell="D17" sqref="A17:XFD17"/>
    </sheetView>
  </sheetViews>
  <sheetFormatPr baseColWidth="10" defaultRowHeight="14.25"/>
  <cols>
    <col min="1" max="1" width="11.375" style="25"/>
    <col min="2" max="2" width="9.375" style="25" customWidth="1"/>
    <col min="3" max="3" width="19" style="25" customWidth="1"/>
    <col min="4" max="4" width="32.125" style="25" customWidth="1"/>
    <col min="5" max="5" width="10.125" style="25" customWidth="1"/>
    <col min="6" max="6" width="72.875" style="25" customWidth="1"/>
    <col min="7" max="7" width="15.75" style="25" customWidth="1"/>
    <col min="8" max="8" width="15.25" style="57" hidden="1" customWidth="1"/>
    <col min="9" max="9" width="15.625" style="57" hidden="1" customWidth="1"/>
    <col min="10" max="10" width="13.25" style="57" hidden="1" customWidth="1"/>
    <col min="11" max="11" width="15.625" style="25" customWidth="1"/>
    <col min="12" max="12" width="16.375" bestFit="1" customWidth="1"/>
  </cols>
  <sheetData>
    <row r="1" spans="1:12" s="85" customFormat="1">
      <c r="A1" s="80" t="s">
        <v>15</v>
      </c>
      <c r="B1" s="81"/>
      <c r="C1" s="81"/>
      <c r="D1" s="81"/>
      <c r="E1" s="81"/>
      <c r="F1" s="81"/>
      <c r="G1" s="81"/>
      <c r="H1" s="82"/>
      <c r="I1" s="82"/>
      <c r="J1" s="82"/>
      <c r="K1" s="83"/>
      <c r="L1" s="84"/>
    </row>
    <row r="2" spans="1:12" s="85" customFormat="1">
      <c r="A2" s="86"/>
      <c r="B2" s="87"/>
      <c r="C2" s="87"/>
      <c r="D2" s="87"/>
      <c r="E2" s="87"/>
      <c r="F2" s="87"/>
      <c r="G2" s="87"/>
      <c r="H2" s="88"/>
      <c r="I2" s="88"/>
      <c r="J2" s="88"/>
      <c r="K2" s="235" t="s">
        <v>25</v>
      </c>
      <c r="L2" s="235"/>
    </row>
    <row r="3" spans="1:12" s="85" customFormat="1">
      <c r="A3" s="90" t="s">
        <v>16</v>
      </c>
      <c r="B3" s="90" t="s">
        <v>17</v>
      </c>
      <c r="C3" s="90" t="s">
        <v>18</v>
      </c>
      <c r="D3" s="90" t="s">
        <v>19</v>
      </c>
      <c r="E3" s="90" t="s">
        <v>87</v>
      </c>
      <c r="F3" s="90" t="s">
        <v>20</v>
      </c>
      <c r="G3" s="90" t="s">
        <v>21</v>
      </c>
      <c r="H3" s="91" t="s">
        <v>22</v>
      </c>
      <c r="I3" s="91" t="s">
        <v>23</v>
      </c>
      <c r="J3" s="91" t="s">
        <v>24</v>
      </c>
      <c r="K3" s="89" t="s">
        <v>4</v>
      </c>
      <c r="L3" s="92" t="s">
        <v>37</v>
      </c>
    </row>
    <row r="4" spans="1:12">
      <c r="A4" s="66">
        <v>45870</v>
      </c>
      <c r="B4" s="66" t="s">
        <v>41</v>
      </c>
      <c r="C4" s="67" t="s">
        <v>62</v>
      </c>
      <c r="D4" s="66" t="s">
        <v>95</v>
      </c>
      <c r="E4" s="67"/>
      <c r="F4" s="68" t="s">
        <v>64</v>
      </c>
      <c r="G4" s="34">
        <v>6000</v>
      </c>
      <c r="H4" s="34"/>
      <c r="I4" s="34"/>
      <c r="J4" s="34"/>
      <c r="K4" s="34">
        <v>6000</v>
      </c>
      <c r="L4" s="34"/>
    </row>
    <row r="5" spans="1:12">
      <c r="A5" s="47">
        <v>45873</v>
      </c>
      <c r="B5" s="48" t="s">
        <v>41</v>
      </c>
      <c r="C5" s="48" t="s">
        <v>31</v>
      </c>
      <c r="D5" s="47" t="s">
        <v>33</v>
      </c>
      <c r="E5" s="48">
        <v>200</v>
      </c>
      <c r="F5" s="49" t="s">
        <v>86</v>
      </c>
      <c r="G5" s="50">
        <f>333*200</f>
        <v>66600</v>
      </c>
      <c r="H5" s="34"/>
      <c r="I5" s="34"/>
      <c r="J5" s="34"/>
      <c r="K5" s="50"/>
      <c r="L5" s="50"/>
    </row>
    <row r="6" spans="1:12">
      <c r="A6" s="47">
        <v>45873</v>
      </c>
      <c r="B6" s="48" t="s">
        <v>41</v>
      </c>
      <c r="C6" s="48" t="s">
        <v>32</v>
      </c>
      <c r="D6" s="47" t="s">
        <v>33</v>
      </c>
      <c r="E6" s="48">
        <v>1</v>
      </c>
      <c r="F6" s="49" t="s">
        <v>48</v>
      </c>
      <c r="G6" s="50">
        <v>25600</v>
      </c>
      <c r="H6" s="39"/>
      <c r="I6" s="39"/>
      <c r="J6" s="39"/>
      <c r="K6" s="50">
        <f>G5+G6</f>
        <v>92200</v>
      </c>
      <c r="L6" s="50"/>
    </row>
    <row r="7" spans="1:12">
      <c r="A7" s="35">
        <v>45873</v>
      </c>
      <c r="B7" s="37" t="s">
        <v>41</v>
      </c>
      <c r="C7" s="37" t="s">
        <v>30</v>
      </c>
      <c r="D7" s="35" t="s">
        <v>33</v>
      </c>
      <c r="E7" s="37">
        <v>200</v>
      </c>
      <c r="F7" s="38" t="s">
        <v>78</v>
      </c>
      <c r="G7" s="52">
        <f>156*200</f>
        <v>31200</v>
      </c>
      <c r="H7" s="34"/>
      <c r="I7" s="34"/>
      <c r="J7" s="34"/>
      <c r="K7" s="52"/>
      <c r="L7" s="52"/>
    </row>
    <row r="8" spans="1:12">
      <c r="A8" s="47">
        <v>45873</v>
      </c>
      <c r="B8" s="48" t="s">
        <v>41</v>
      </c>
      <c r="C8" s="48" t="s">
        <v>31</v>
      </c>
      <c r="D8" s="47" t="s">
        <v>33</v>
      </c>
      <c r="E8" s="48">
        <v>200</v>
      </c>
      <c r="F8" s="49" t="s">
        <v>86</v>
      </c>
      <c r="G8" s="50">
        <f>333*200</f>
        <v>66600</v>
      </c>
      <c r="H8" s="34"/>
      <c r="I8" s="34"/>
      <c r="J8" s="34"/>
      <c r="K8" s="50"/>
      <c r="L8" s="50"/>
    </row>
    <row r="9" spans="1:12">
      <c r="A9" s="47">
        <v>45873</v>
      </c>
      <c r="B9" s="48" t="s">
        <v>41</v>
      </c>
      <c r="C9" s="48" t="s">
        <v>32</v>
      </c>
      <c r="D9" s="47" t="s">
        <v>33</v>
      </c>
      <c r="E9" s="48">
        <v>1</v>
      </c>
      <c r="F9" s="49" t="s">
        <v>48</v>
      </c>
      <c r="G9" s="50">
        <v>25500</v>
      </c>
      <c r="H9" s="39"/>
      <c r="I9" s="39"/>
      <c r="J9" s="39"/>
      <c r="K9" s="50">
        <f>G7+G8+G9</f>
        <v>123300</v>
      </c>
      <c r="L9" s="50"/>
    </row>
    <row r="10" spans="1:12">
      <c r="A10" s="47">
        <v>45874</v>
      </c>
      <c r="B10" s="48" t="s">
        <v>41</v>
      </c>
      <c r="C10" s="48" t="s">
        <v>96</v>
      </c>
      <c r="D10" s="47" t="s">
        <v>96</v>
      </c>
      <c r="E10" s="48">
        <v>1</v>
      </c>
      <c r="F10" s="49" t="s">
        <v>97</v>
      </c>
      <c r="G10" s="50">
        <v>5000</v>
      </c>
      <c r="H10" s="39"/>
      <c r="I10" s="39"/>
      <c r="J10" s="39"/>
      <c r="K10" s="50">
        <v>5000</v>
      </c>
      <c r="L10" s="50"/>
    </row>
    <row r="11" spans="1:12">
      <c r="A11" s="30">
        <v>45880</v>
      </c>
      <c r="B11" s="31" t="s">
        <v>41</v>
      </c>
      <c r="C11" s="31" t="s">
        <v>46</v>
      </c>
      <c r="D11" s="31" t="s">
        <v>56</v>
      </c>
      <c r="E11" s="31"/>
      <c r="F11" s="32" t="s">
        <v>98</v>
      </c>
      <c r="G11" s="33">
        <v>11677.6</v>
      </c>
      <c r="H11" s="33"/>
      <c r="I11" s="33"/>
      <c r="J11" s="33"/>
      <c r="K11" s="33"/>
      <c r="L11" s="33">
        <f>G11</f>
        <v>11677.6</v>
      </c>
    </row>
    <row r="12" spans="1:12">
      <c r="A12" s="35">
        <v>45883</v>
      </c>
      <c r="B12" s="31" t="s">
        <v>41</v>
      </c>
      <c r="C12" s="37" t="s">
        <v>30</v>
      </c>
      <c r="D12" s="35" t="s">
        <v>33</v>
      </c>
      <c r="E12" s="37">
        <v>400</v>
      </c>
      <c r="F12" s="38" t="s">
        <v>34</v>
      </c>
      <c r="G12" s="33">
        <f>156*400</f>
        <v>62400</v>
      </c>
      <c r="H12" s="39"/>
      <c r="I12" s="39"/>
      <c r="J12" s="39"/>
      <c r="K12" s="33"/>
      <c r="L12" s="33"/>
    </row>
    <row r="13" spans="1:12">
      <c r="A13" s="47">
        <v>45883</v>
      </c>
      <c r="B13" s="31" t="s">
        <v>41</v>
      </c>
      <c r="C13" s="48" t="s">
        <v>31</v>
      </c>
      <c r="D13" s="47" t="s">
        <v>33</v>
      </c>
      <c r="E13" s="48">
        <v>400</v>
      </c>
      <c r="F13" s="49" t="s">
        <v>35</v>
      </c>
      <c r="G13" s="33">
        <v>133200</v>
      </c>
      <c r="H13" s="51"/>
      <c r="I13" s="51"/>
      <c r="J13" s="51"/>
      <c r="K13" s="33"/>
      <c r="L13" s="33"/>
    </row>
    <row r="14" spans="1:12">
      <c r="A14" s="40">
        <v>45883</v>
      </c>
      <c r="B14" s="31" t="s">
        <v>41</v>
      </c>
      <c r="C14" s="42" t="s">
        <v>32</v>
      </c>
      <c r="D14" s="40" t="s">
        <v>33</v>
      </c>
      <c r="E14" s="42">
        <v>4</v>
      </c>
      <c r="F14" s="43" t="s">
        <v>99</v>
      </c>
      <c r="G14" s="33">
        <f>82064+82064</f>
        <v>164128</v>
      </c>
      <c r="H14" s="44"/>
      <c r="I14" s="44"/>
      <c r="J14" s="44"/>
      <c r="K14" s="33"/>
      <c r="L14" s="33"/>
    </row>
    <row r="15" spans="1:12">
      <c r="A15" s="40">
        <v>45883</v>
      </c>
      <c r="B15" s="31" t="s">
        <v>41</v>
      </c>
      <c r="C15" s="42" t="s">
        <v>100</v>
      </c>
      <c r="D15" s="40" t="s">
        <v>33</v>
      </c>
      <c r="E15" s="42">
        <v>0</v>
      </c>
      <c r="F15" s="43" t="s">
        <v>100</v>
      </c>
      <c r="G15" s="33">
        <v>272</v>
      </c>
      <c r="H15" s="44"/>
      <c r="I15" s="44"/>
      <c r="J15" s="44"/>
      <c r="K15" s="33">
        <f>G12+G13+G14+G15</f>
        <v>360000</v>
      </c>
      <c r="L15" s="33"/>
    </row>
    <row r="16" spans="1:12">
      <c r="A16" s="40">
        <v>45883</v>
      </c>
      <c r="B16" s="31" t="s">
        <v>41</v>
      </c>
      <c r="C16" s="42" t="s">
        <v>65</v>
      </c>
      <c r="D16" s="40" t="s">
        <v>66</v>
      </c>
      <c r="E16" s="42">
        <v>1000</v>
      </c>
      <c r="F16" s="43" t="s">
        <v>101</v>
      </c>
      <c r="G16" s="33">
        <v>23750</v>
      </c>
      <c r="H16" s="44"/>
      <c r="I16" s="44"/>
      <c r="J16" s="44"/>
      <c r="K16" s="33">
        <v>23750</v>
      </c>
      <c r="L16" s="40"/>
    </row>
    <row r="17" spans="1:12" ht="15" thickBot="1">
      <c r="A17" s="40">
        <v>45883</v>
      </c>
      <c r="B17" s="31" t="s">
        <v>41</v>
      </c>
      <c r="C17" s="42" t="s">
        <v>65</v>
      </c>
      <c r="D17" s="40" t="s">
        <v>66</v>
      </c>
      <c r="E17" s="42">
        <v>1</v>
      </c>
      <c r="F17" s="43" t="s">
        <v>102</v>
      </c>
      <c r="G17" s="33">
        <v>3800</v>
      </c>
      <c r="H17" s="44"/>
      <c r="I17" s="44"/>
      <c r="J17" s="44"/>
      <c r="K17" s="33">
        <v>3800</v>
      </c>
      <c r="L17" s="40"/>
    </row>
    <row r="18" spans="1:12">
      <c r="A18" s="103">
        <v>45884</v>
      </c>
      <c r="B18" s="104" t="s">
        <v>41</v>
      </c>
      <c r="C18" s="105" t="s">
        <v>88</v>
      </c>
      <c r="D18" s="104" t="s">
        <v>89</v>
      </c>
      <c r="E18" s="105"/>
      <c r="F18" s="106" t="s">
        <v>103</v>
      </c>
      <c r="G18" s="107">
        <f>K18+L18</f>
        <v>427000</v>
      </c>
      <c r="H18" s="107"/>
      <c r="I18" s="107"/>
      <c r="J18" s="107"/>
      <c r="K18" s="107">
        <v>150000</v>
      </c>
      <c r="L18" s="108">
        <v>277000</v>
      </c>
    </row>
    <row r="19" spans="1:12" ht="15" thickBot="1">
      <c r="A19" s="109">
        <v>45884</v>
      </c>
      <c r="B19" s="110" t="s">
        <v>41</v>
      </c>
      <c r="C19" s="111" t="s">
        <v>88</v>
      </c>
      <c r="D19" s="110" t="s">
        <v>91</v>
      </c>
      <c r="E19" s="111"/>
      <c r="F19" s="112" t="s">
        <v>104</v>
      </c>
      <c r="G19" s="113">
        <f>K19+L19</f>
        <v>427000</v>
      </c>
      <c r="H19" s="113"/>
      <c r="I19" s="113"/>
      <c r="J19" s="113"/>
      <c r="K19" s="113">
        <v>150000</v>
      </c>
      <c r="L19" s="114">
        <v>277000</v>
      </c>
    </row>
    <row r="20" spans="1:12">
      <c r="A20" s="66">
        <v>45870</v>
      </c>
      <c r="B20" s="66" t="s">
        <v>41</v>
      </c>
      <c r="C20" s="67" t="s">
        <v>62</v>
      </c>
      <c r="D20" s="66" t="s">
        <v>105</v>
      </c>
      <c r="E20" s="67"/>
      <c r="F20" s="68" t="s">
        <v>64</v>
      </c>
      <c r="G20" s="34">
        <v>6500</v>
      </c>
      <c r="H20" s="34"/>
      <c r="I20" s="34"/>
      <c r="J20" s="34"/>
      <c r="K20" s="34">
        <v>6500</v>
      </c>
      <c r="L20" s="34"/>
    </row>
    <row r="21" spans="1:12">
      <c r="A21" s="40">
        <v>45883</v>
      </c>
      <c r="B21" s="31" t="s">
        <v>41</v>
      </c>
      <c r="C21" s="40" t="s">
        <v>106</v>
      </c>
      <c r="D21" s="40" t="s">
        <v>106</v>
      </c>
      <c r="E21" s="42">
        <v>1</v>
      </c>
      <c r="F21" s="43" t="s">
        <v>107</v>
      </c>
      <c r="G21" s="33">
        <v>25000</v>
      </c>
      <c r="H21" s="44"/>
      <c r="I21" s="44"/>
      <c r="J21" s="44"/>
      <c r="K21" s="33">
        <v>25000</v>
      </c>
      <c r="L21" s="40"/>
    </row>
    <row r="22" spans="1:12">
      <c r="A22" s="30">
        <v>45887</v>
      </c>
      <c r="B22" s="31" t="s">
        <v>41</v>
      </c>
      <c r="C22" s="31" t="s">
        <v>58</v>
      </c>
      <c r="D22" s="31" t="s">
        <v>59</v>
      </c>
      <c r="E22" s="31">
        <v>1</v>
      </c>
      <c r="F22" s="32" t="s">
        <v>76</v>
      </c>
      <c r="G22" s="33">
        <v>16000</v>
      </c>
      <c r="H22" s="33"/>
      <c r="I22" s="33"/>
      <c r="J22" s="33"/>
      <c r="K22" s="33">
        <v>16000</v>
      </c>
      <c r="L22" s="33"/>
    </row>
    <row r="23" spans="1:12">
      <c r="A23" s="30">
        <v>45887</v>
      </c>
      <c r="B23" s="30" t="s">
        <v>41</v>
      </c>
      <c r="C23" s="31" t="s">
        <v>26</v>
      </c>
      <c r="D23" s="30" t="s">
        <v>42</v>
      </c>
      <c r="E23" s="31">
        <v>1</v>
      </c>
      <c r="F23" s="32" t="s">
        <v>43</v>
      </c>
      <c r="G23" s="33">
        <v>10000</v>
      </c>
      <c r="H23" s="34"/>
      <c r="I23" s="34"/>
      <c r="J23" s="34"/>
      <c r="K23" s="33"/>
      <c r="L23" s="33">
        <v>10000</v>
      </c>
    </row>
    <row r="24" spans="1:12">
      <c r="A24" s="30">
        <v>45888</v>
      </c>
      <c r="B24" s="31" t="s">
        <v>41</v>
      </c>
      <c r="C24" s="31" t="s">
        <v>108</v>
      </c>
      <c r="D24" s="31" t="s">
        <v>109</v>
      </c>
      <c r="E24" s="31">
        <v>1</v>
      </c>
      <c r="F24" s="32" t="s">
        <v>110</v>
      </c>
      <c r="G24" s="33">
        <v>85000</v>
      </c>
      <c r="H24" s="33"/>
      <c r="I24" s="33"/>
      <c r="J24" s="33"/>
      <c r="K24" s="33">
        <v>85000</v>
      </c>
      <c r="L24" s="33"/>
    </row>
    <row r="25" spans="1:12">
      <c r="A25" s="30">
        <v>45888</v>
      </c>
      <c r="B25" s="46" t="s">
        <v>41</v>
      </c>
      <c r="C25" s="31" t="s">
        <v>38</v>
      </c>
      <c r="D25" s="30" t="s">
        <v>84</v>
      </c>
      <c r="E25" s="31">
        <v>5</v>
      </c>
      <c r="F25" s="32" t="s">
        <v>85</v>
      </c>
      <c r="G25" s="33">
        <f>7000*5</f>
        <v>35000</v>
      </c>
      <c r="H25" s="34"/>
      <c r="I25" s="34"/>
      <c r="J25" s="34"/>
      <c r="K25" s="33">
        <v>0</v>
      </c>
      <c r="L25" s="33"/>
    </row>
    <row r="26" spans="1:12">
      <c r="A26" s="40">
        <v>45893</v>
      </c>
      <c r="B26" s="31" t="s">
        <v>41</v>
      </c>
      <c r="C26" s="40" t="s">
        <v>106</v>
      </c>
      <c r="D26" s="40" t="s">
        <v>106</v>
      </c>
      <c r="E26" s="42">
        <v>1</v>
      </c>
      <c r="F26" s="43" t="s">
        <v>107</v>
      </c>
      <c r="G26" s="33">
        <v>25000</v>
      </c>
      <c r="H26" s="44"/>
      <c r="I26" s="44"/>
      <c r="J26" s="44"/>
      <c r="K26" s="33">
        <v>25000</v>
      </c>
      <c r="L26" s="40"/>
    </row>
    <row r="27" spans="1:12">
      <c r="A27" s="47">
        <v>45894</v>
      </c>
      <c r="B27" s="48" t="s">
        <v>41</v>
      </c>
      <c r="C27" s="48" t="s">
        <v>96</v>
      </c>
      <c r="D27" s="47" t="s">
        <v>96</v>
      </c>
      <c r="E27" s="48">
        <v>1</v>
      </c>
      <c r="F27" s="49" t="s">
        <v>111</v>
      </c>
      <c r="G27" s="50">
        <v>5000</v>
      </c>
      <c r="H27" s="39"/>
      <c r="I27" s="39"/>
      <c r="J27" s="39"/>
      <c r="K27" s="50">
        <v>5000</v>
      </c>
      <c r="L27" s="50"/>
    </row>
    <row r="28" spans="1:12">
      <c r="A28" s="40">
        <v>45894</v>
      </c>
      <c r="B28" s="31" t="s">
        <v>41</v>
      </c>
      <c r="C28" s="42" t="s">
        <v>65</v>
      </c>
      <c r="D28" s="40" t="s">
        <v>112</v>
      </c>
      <c r="E28" s="42">
        <v>400</v>
      </c>
      <c r="F28" s="43" t="s">
        <v>113</v>
      </c>
      <c r="G28" s="33">
        <v>3200</v>
      </c>
      <c r="H28" s="44"/>
      <c r="I28" s="44"/>
      <c r="J28" s="44"/>
      <c r="K28" s="33">
        <v>3200</v>
      </c>
      <c r="L28" s="40"/>
    </row>
    <row r="29" spans="1:12">
      <c r="A29" s="35">
        <v>45886</v>
      </c>
      <c r="B29" s="31" t="s">
        <v>41</v>
      </c>
      <c r="C29" s="37" t="s">
        <v>114</v>
      </c>
      <c r="D29" s="35" t="s">
        <v>33</v>
      </c>
      <c r="E29" s="37">
        <v>200</v>
      </c>
      <c r="F29" s="38" t="s">
        <v>86</v>
      </c>
      <c r="G29" s="33">
        <v>66600</v>
      </c>
      <c r="H29" s="39"/>
      <c r="I29" s="39"/>
      <c r="J29" s="39"/>
      <c r="K29" s="33"/>
      <c r="L29" s="33"/>
    </row>
    <row r="30" spans="1:12">
      <c r="A30" s="47">
        <v>45892</v>
      </c>
      <c r="B30" s="31" t="s">
        <v>41</v>
      </c>
      <c r="C30" s="48" t="s">
        <v>31</v>
      </c>
      <c r="D30" s="47" t="s">
        <v>33</v>
      </c>
      <c r="E30" s="48">
        <v>400</v>
      </c>
      <c r="F30" s="49" t="s">
        <v>115</v>
      </c>
      <c r="G30" s="33">
        <v>143200</v>
      </c>
      <c r="H30" s="51"/>
      <c r="I30" s="51"/>
      <c r="J30" s="51"/>
      <c r="K30" s="33"/>
      <c r="L30" s="33"/>
    </row>
    <row r="31" spans="1:12">
      <c r="A31" s="40">
        <v>45892</v>
      </c>
      <c r="B31" s="128" t="s">
        <v>41</v>
      </c>
      <c r="C31" s="48" t="s">
        <v>32</v>
      </c>
      <c r="D31" s="48" t="s">
        <v>33</v>
      </c>
      <c r="E31" s="48">
        <v>2</v>
      </c>
      <c r="F31" s="130" t="s">
        <v>79</v>
      </c>
      <c r="G31" s="129">
        <f>25000+25000</f>
        <v>50000</v>
      </c>
      <c r="H31" s="44"/>
      <c r="I31" s="44"/>
      <c r="J31" s="44"/>
      <c r="K31" s="33"/>
      <c r="L31" s="33"/>
    </row>
    <row r="32" spans="1:12">
      <c r="A32" s="35">
        <v>45892</v>
      </c>
      <c r="B32" s="31" t="s">
        <v>41</v>
      </c>
      <c r="C32" s="42" t="s">
        <v>30</v>
      </c>
      <c r="D32" s="40" t="s">
        <v>33</v>
      </c>
      <c r="E32" s="42">
        <v>400</v>
      </c>
      <c r="F32" s="43" t="s">
        <v>34</v>
      </c>
      <c r="G32" s="33">
        <v>62400</v>
      </c>
      <c r="H32" s="39"/>
      <c r="I32" s="39"/>
      <c r="J32" s="39"/>
      <c r="K32" s="33">
        <f>G29+G30+G31+G32</f>
        <v>322200</v>
      </c>
      <c r="L32" s="33"/>
    </row>
    <row r="33" spans="1:12">
      <c r="A33" s="40">
        <v>45892</v>
      </c>
      <c r="B33" s="31" t="s">
        <v>41</v>
      </c>
      <c r="C33" s="42" t="s">
        <v>32</v>
      </c>
      <c r="D33" s="40" t="s">
        <v>119</v>
      </c>
      <c r="E33" s="42">
        <v>2</v>
      </c>
      <c r="F33" s="43" t="s">
        <v>116</v>
      </c>
      <c r="G33" s="33">
        <f>41032+41032</f>
        <v>82064</v>
      </c>
      <c r="H33" s="44"/>
      <c r="I33" s="44"/>
      <c r="J33" s="44"/>
      <c r="K33" s="33"/>
      <c r="L33" s="33"/>
    </row>
    <row r="34" spans="1:12" ht="13.5" customHeight="1">
      <c r="A34" s="35">
        <v>45898</v>
      </c>
      <c r="B34" s="31" t="s">
        <v>41</v>
      </c>
      <c r="C34" s="42" t="s">
        <v>30</v>
      </c>
      <c r="D34" s="40" t="s">
        <v>33</v>
      </c>
      <c r="E34" s="42">
        <v>400</v>
      </c>
      <c r="F34" s="43" t="s">
        <v>34</v>
      </c>
      <c r="G34" s="33">
        <v>62400</v>
      </c>
      <c r="H34" s="39"/>
      <c r="I34" s="39"/>
      <c r="J34" s="39"/>
      <c r="K34" s="33">
        <f>G34</f>
        <v>62400</v>
      </c>
      <c r="L34" s="33"/>
    </row>
    <row r="35" spans="1:12" ht="13.5" customHeight="1">
      <c r="A35" s="35">
        <v>45898</v>
      </c>
      <c r="B35" s="31" t="s">
        <v>41</v>
      </c>
      <c r="C35" s="42" t="s">
        <v>120</v>
      </c>
      <c r="D35" s="40" t="s">
        <v>121</v>
      </c>
      <c r="E35" s="42">
        <v>2</v>
      </c>
      <c r="F35" s="43" t="s">
        <v>122</v>
      </c>
      <c r="G35" s="33">
        <v>12000</v>
      </c>
      <c r="H35" s="39"/>
      <c r="I35" s="39"/>
      <c r="J35" s="39"/>
      <c r="K35" s="33">
        <v>0</v>
      </c>
      <c r="L35" s="33">
        <f>G35</f>
        <v>12000</v>
      </c>
    </row>
    <row r="36" spans="1:12" ht="13.5" customHeight="1">
      <c r="A36" s="47"/>
      <c r="B36" s="48"/>
      <c r="C36" s="48"/>
      <c r="D36" s="47"/>
      <c r="E36" s="48"/>
      <c r="F36" s="49"/>
      <c r="G36" s="50"/>
      <c r="H36" s="39"/>
      <c r="I36" s="39"/>
      <c r="J36" s="39"/>
      <c r="K36" s="50"/>
      <c r="L36" s="50"/>
    </row>
    <row r="37" spans="1:12">
      <c r="A37" s="47"/>
      <c r="B37" s="48"/>
      <c r="C37" s="48"/>
      <c r="D37" s="47"/>
      <c r="E37" s="48"/>
      <c r="F37" s="49"/>
      <c r="G37" s="50"/>
      <c r="H37" s="39"/>
      <c r="I37" s="39"/>
      <c r="J37" s="39"/>
      <c r="K37" s="50"/>
      <c r="L37" s="50"/>
    </row>
    <row r="38" spans="1:12">
      <c r="A38" s="47"/>
      <c r="B38" s="48"/>
      <c r="C38" s="48"/>
      <c r="D38" s="47"/>
      <c r="E38" s="48"/>
      <c r="F38" s="49"/>
      <c r="G38" s="50"/>
      <c r="H38" s="39"/>
      <c r="I38" s="39"/>
      <c r="J38" s="39"/>
      <c r="K38" s="50"/>
      <c r="L38" s="45"/>
    </row>
    <row r="39" spans="1:12">
      <c r="A39" s="30"/>
      <c r="B39" s="30"/>
      <c r="C39" s="31"/>
      <c r="D39" s="30"/>
      <c r="E39" s="31"/>
      <c r="F39" s="32"/>
      <c r="G39" s="33"/>
      <c r="H39" s="34"/>
      <c r="I39" s="34"/>
      <c r="J39" s="34"/>
      <c r="K39" s="33"/>
      <c r="L39" s="33"/>
    </row>
    <row r="40" spans="1:12">
      <c r="A40" s="35">
        <v>45854</v>
      </c>
      <c r="B40" s="36" t="s">
        <v>29</v>
      </c>
      <c r="C40" s="37" t="s">
        <v>30</v>
      </c>
      <c r="D40" s="35" t="s">
        <v>33</v>
      </c>
      <c r="E40" s="37">
        <v>400</v>
      </c>
      <c r="F40" s="38" t="s">
        <v>34</v>
      </c>
      <c r="G40" s="33">
        <f>156*400</f>
        <v>62400</v>
      </c>
      <c r="H40" s="39"/>
      <c r="I40" s="39"/>
      <c r="J40" s="39"/>
      <c r="K40" s="33"/>
      <c r="L40" s="33"/>
    </row>
    <row r="41" spans="1:12">
      <c r="A41" s="47">
        <v>45854</v>
      </c>
      <c r="B41" s="53" t="s">
        <v>29</v>
      </c>
      <c r="C41" s="48" t="s">
        <v>31</v>
      </c>
      <c r="D41" s="47" t="s">
        <v>33</v>
      </c>
      <c r="E41" s="48">
        <v>300</v>
      </c>
      <c r="F41" s="49" t="s">
        <v>80</v>
      </c>
      <c r="G41" s="33">
        <f>333*300</f>
        <v>99900</v>
      </c>
      <c r="H41" s="51"/>
      <c r="I41" s="51"/>
      <c r="J41" s="51"/>
      <c r="K41" s="33"/>
      <c r="L41" s="33"/>
    </row>
    <row r="42" spans="1:12">
      <c r="A42" s="40">
        <v>45854</v>
      </c>
      <c r="B42" s="41" t="s">
        <v>29</v>
      </c>
      <c r="C42" s="42" t="s">
        <v>32</v>
      </c>
      <c r="D42" s="40" t="s">
        <v>33</v>
      </c>
      <c r="E42" s="42">
        <v>1</v>
      </c>
      <c r="F42" s="43" t="s">
        <v>36</v>
      </c>
      <c r="G42" s="33">
        <v>41032</v>
      </c>
      <c r="H42" s="44"/>
      <c r="I42" s="44"/>
      <c r="J42" s="44"/>
      <c r="K42" s="33">
        <v>0</v>
      </c>
      <c r="L42" s="33"/>
    </row>
    <row r="43" spans="1:12">
      <c r="A43" s="30">
        <v>45853</v>
      </c>
      <c r="B43" s="46" t="s">
        <v>29</v>
      </c>
      <c r="C43" s="31" t="s">
        <v>38</v>
      </c>
      <c r="D43" s="30" t="s">
        <v>39</v>
      </c>
      <c r="E43" s="31">
        <v>3</v>
      </c>
      <c r="F43" s="32" t="s">
        <v>40</v>
      </c>
      <c r="G43" s="33">
        <v>21000</v>
      </c>
      <c r="H43" s="34"/>
      <c r="I43" s="34"/>
      <c r="J43" s="34"/>
      <c r="K43" s="33">
        <v>0</v>
      </c>
      <c r="L43" s="33"/>
    </row>
    <row r="44" spans="1:12">
      <c r="A44" s="30">
        <v>45855</v>
      </c>
      <c r="B44" s="30" t="s">
        <v>41</v>
      </c>
      <c r="C44" s="31" t="s">
        <v>26</v>
      </c>
      <c r="D44" s="30" t="s">
        <v>42</v>
      </c>
      <c r="E44" s="31"/>
      <c r="F44" s="32" t="s">
        <v>43</v>
      </c>
      <c r="G44" s="33">
        <v>20000</v>
      </c>
      <c r="H44" s="34"/>
      <c r="I44" s="34"/>
      <c r="J44" s="34"/>
      <c r="K44" s="33"/>
      <c r="L44" s="33">
        <v>0</v>
      </c>
    </row>
    <row r="45" spans="1:12">
      <c r="A45" s="30">
        <v>45855</v>
      </c>
      <c r="B45" s="30" t="s">
        <v>41</v>
      </c>
      <c r="C45" s="31" t="s">
        <v>46</v>
      </c>
      <c r="D45" s="30" t="s">
        <v>44</v>
      </c>
      <c r="E45" s="31"/>
      <c r="F45" s="32" t="s">
        <v>45</v>
      </c>
      <c r="G45" s="33">
        <v>13700</v>
      </c>
      <c r="H45" s="34"/>
      <c r="I45" s="34"/>
      <c r="J45" s="34"/>
      <c r="K45" s="33"/>
      <c r="L45" s="33">
        <v>0</v>
      </c>
    </row>
    <row r="46" spans="1:12">
      <c r="A46" s="30">
        <v>45856</v>
      </c>
      <c r="B46" s="30" t="s">
        <v>41</v>
      </c>
      <c r="C46" s="31" t="s">
        <v>32</v>
      </c>
      <c r="D46" s="30" t="s">
        <v>47</v>
      </c>
      <c r="E46" s="31">
        <v>1</v>
      </c>
      <c r="F46" s="32" t="s">
        <v>48</v>
      </c>
      <c r="G46" s="33">
        <v>25000</v>
      </c>
      <c r="H46" s="34"/>
      <c r="I46" s="34"/>
      <c r="J46" s="34"/>
      <c r="K46" s="33">
        <v>0</v>
      </c>
      <c r="L46" s="33"/>
    </row>
    <row r="47" spans="1:12">
      <c r="A47" s="30">
        <v>45859</v>
      </c>
      <c r="B47" s="31" t="s">
        <v>41</v>
      </c>
      <c r="C47" s="31" t="s">
        <v>58</v>
      </c>
      <c r="D47" s="31" t="s">
        <v>59</v>
      </c>
      <c r="E47" s="31"/>
      <c r="F47" s="32" t="s">
        <v>76</v>
      </c>
      <c r="G47" s="33">
        <v>16000</v>
      </c>
      <c r="H47" s="33"/>
      <c r="I47" s="33"/>
      <c r="J47" s="33"/>
      <c r="K47" s="33">
        <v>0</v>
      </c>
      <c r="L47" s="33"/>
    </row>
    <row r="48" spans="1:12">
      <c r="A48" s="30">
        <v>45859</v>
      </c>
      <c r="B48" s="31" t="s">
        <v>41</v>
      </c>
      <c r="C48" s="31" t="s">
        <v>46</v>
      </c>
      <c r="D48" s="31" t="s">
        <v>56</v>
      </c>
      <c r="E48" s="31"/>
      <c r="F48" s="32" t="s">
        <v>77</v>
      </c>
      <c r="G48" s="33">
        <v>10143.98</v>
      </c>
      <c r="H48" s="33"/>
      <c r="I48" s="33"/>
      <c r="J48" s="33"/>
      <c r="K48" s="33"/>
      <c r="L48" s="33">
        <v>0</v>
      </c>
    </row>
    <row r="49" spans="1:12">
      <c r="A49" s="35">
        <v>45863</v>
      </c>
      <c r="B49" s="37" t="s">
        <v>41</v>
      </c>
      <c r="C49" s="37" t="s">
        <v>30</v>
      </c>
      <c r="D49" s="35" t="s">
        <v>33</v>
      </c>
      <c r="E49" s="37">
        <v>200</v>
      </c>
      <c r="F49" s="38" t="s">
        <v>78</v>
      </c>
      <c r="G49" s="52">
        <f>156*200</f>
        <v>31200</v>
      </c>
      <c r="H49" s="34"/>
      <c r="I49" s="34"/>
      <c r="J49" s="34"/>
      <c r="K49" s="52"/>
      <c r="L49" s="52"/>
    </row>
    <row r="50" spans="1:12">
      <c r="A50" s="47">
        <v>45863</v>
      </c>
      <c r="B50" s="48" t="s">
        <v>41</v>
      </c>
      <c r="C50" s="48" t="s">
        <v>31</v>
      </c>
      <c r="D50" s="47" t="s">
        <v>33</v>
      </c>
      <c r="E50" s="48">
        <v>400</v>
      </c>
      <c r="F50" s="49" t="s">
        <v>35</v>
      </c>
      <c r="G50" s="50">
        <f>333*400</f>
        <v>133200</v>
      </c>
      <c r="H50" s="34"/>
      <c r="I50" s="34"/>
      <c r="J50" s="34"/>
      <c r="K50" s="50"/>
      <c r="L50" s="50"/>
    </row>
    <row r="51" spans="1:12">
      <c r="A51" s="40">
        <v>45863</v>
      </c>
      <c r="B51" s="42" t="s">
        <v>41</v>
      </c>
      <c r="C51" s="42" t="s">
        <v>32</v>
      </c>
      <c r="D51" s="40" t="s">
        <v>33</v>
      </c>
      <c r="E51" s="42">
        <v>1</v>
      </c>
      <c r="F51" s="43" t="s">
        <v>48</v>
      </c>
      <c r="G51" s="45">
        <v>22500</v>
      </c>
      <c r="H51" s="34"/>
      <c r="I51" s="34"/>
      <c r="J51" s="34"/>
      <c r="K51" s="45">
        <v>0</v>
      </c>
      <c r="L51" s="45"/>
    </row>
    <row r="52" spans="1:12">
      <c r="A52" s="30">
        <v>45860</v>
      </c>
      <c r="B52" s="30" t="s">
        <v>41</v>
      </c>
      <c r="C52" s="31" t="s">
        <v>32</v>
      </c>
      <c r="D52" s="30" t="s">
        <v>47</v>
      </c>
      <c r="E52" s="31">
        <v>2</v>
      </c>
      <c r="F52" s="32" t="s">
        <v>79</v>
      </c>
      <c r="G52" s="33">
        <f>2*25000</f>
        <v>50000</v>
      </c>
      <c r="H52" s="34"/>
      <c r="I52" s="34"/>
      <c r="J52" s="34"/>
      <c r="K52" s="33">
        <v>0</v>
      </c>
      <c r="L52" s="33"/>
    </row>
    <row r="53" spans="1:12">
      <c r="A53" s="93">
        <v>45862</v>
      </c>
      <c r="B53" s="93" t="s">
        <v>41</v>
      </c>
      <c r="C53" s="94" t="s">
        <v>82</v>
      </c>
      <c r="D53" s="93" t="s">
        <v>83</v>
      </c>
      <c r="E53" s="94"/>
      <c r="F53" s="95" t="s">
        <v>81</v>
      </c>
      <c r="G53" s="96">
        <v>100000</v>
      </c>
      <c r="H53" s="96"/>
      <c r="I53" s="96"/>
      <c r="J53" s="96"/>
      <c r="K53" s="96">
        <v>0</v>
      </c>
      <c r="L53" s="96">
        <v>0</v>
      </c>
    </row>
    <row r="54" spans="1:12">
      <c r="A54" s="30">
        <v>45863</v>
      </c>
      <c r="B54" s="46" t="s">
        <v>41</v>
      </c>
      <c r="C54" s="31" t="s">
        <v>38</v>
      </c>
      <c r="D54" s="30" t="s">
        <v>84</v>
      </c>
      <c r="E54" s="31">
        <v>5</v>
      </c>
      <c r="F54" s="32" t="s">
        <v>85</v>
      </c>
      <c r="G54" s="33">
        <f>7000*5</f>
        <v>35000</v>
      </c>
      <c r="H54" s="34"/>
      <c r="I54" s="34"/>
      <c r="J54" s="34"/>
      <c r="K54" s="33">
        <v>0</v>
      </c>
      <c r="L54" s="33"/>
    </row>
    <row r="55" spans="1:12">
      <c r="A55" s="35">
        <v>45863</v>
      </c>
      <c r="B55" s="37" t="s">
        <v>41</v>
      </c>
      <c r="C55" s="37" t="s">
        <v>30</v>
      </c>
      <c r="D55" s="35" t="s">
        <v>33</v>
      </c>
      <c r="E55" s="37">
        <v>200</v>
      </c>
      <c r="F55" s="38" t="s">
        <v>78</v>
      </c>
      <c r="G55" s="52">
        <f>156*200</f>
        <v>31200</v>
      </c>
      <c r="H55" s="34"/>
      <c r="I55" s="34"/>
      <c r="J55" s="34"/>
      <c r="K55" s="52"/>
      <c r="L55" s="52"/>
    </row>
    <row r="56" spans="1:12">
      <c r="A56" s="47">
        <v>45863</v>
      </c>
      <c r="B56" s="48" t="s">
        <v>41</v>
      </c>
      <c r="C56" s="48" t="s">
        <v>31</v>
      </c>
      <c r="D56" s="47" t="s">
        <v>33</v>
      </c>
      <c r="E56" s="48">
        <v>200</v>
      </c>
      <c r="F56" s="49" t="s">
        <v>86</v>
      </c>
      <c r="G56" s="50">
        <f>333*200</f>
        <v>66600</v>
      </c>
      <c r="H56" s="34"/>
      <c r="I56" s="34"/>
      <c r="J56" s="34"/>
      <c r="K56" s="45">
        <v>0</v>
      </c>
      <c r="L56" s="45"/>
    </row>
    <row r="57" spans="1:12">
      <c r="A57" s="35">
        <v>45866</v>
      </c>
      <c r="B57" s="37" t="s">
        <v>41</v>
      </c>
      <c r="C57" s="37" t="s">
        <v>30</v>
      </c>
      <c r="D57" s="35" t="s">
        <v>33</v>
      </c>
      <c r="E57" s="37">
        <v>400</v>
      </c>
      <c r="F57" s="38" t="s">
        <v>34</v>
      </c>
      <c r="G57" s="52">
        <f>156*400</f>
        <v>62400</v>
      </c>
      <c r="H57" s="34"/>
      <c r="I57" s="34"/>
      <c r="J57" s="34"/>
      <c r="K57" s="52"/>
      <c r="L57" s="52"/>
    </row>
    <row r="58" spans="1:12" ht="15" thickBot="1">
      <c r="A58" s="47">
        <v>45866</v>
      </c>
      <c r="B58" s="48" t="s">
        <v>41</v>
      </c>
      <c r="C58" s="48" t="s">
        <v>32</v>
      </c>
      <c r="D58" s="47" t="s">
        <v>33</v>
      </c>
      <c r="E58" s="48">
        <v>1</v>
      </c>
      <c r="F58" s="49" t="s">
        <v>48</v>
      </c>
      <c r="G58" s="50">
        <v>22500</v>
      </c>
      <c r="H58" s="39"/>
      <c r="I58" s="39"/>
      <c r="J58" s="39"/>
      <c r="K58" s="50">
        <v>0</v>
      </c>
      <c r="L58" s="50"/>
    </row>
    <row r="59" spans="1:12">
      <c r="A59" s="103">
        <v>45869</v>
      </c>
      <c r="B59" s="104" t="s">
        <v>41</v>
      </c>
      <c r="C59" s="105" t="s">
        <v>88</v>
      </c>
      <c r="D59" s="104" t="s">
        <v>89</v>
      </c>
      <c r="E59" s="105"/>
      <c r="F59" s="106" t="s">
        <v>90</v>
      </c>
      <c r="G59" s="107">
        <v>0</v>
      </c>
      <c r="H59" s="107"/>
      <c r="I59" s="107"/>
      <c r="J59" s="107"/>
      <c r="K59" s="107">
        <v>0</v>
      </c>
      <c r="L59" s="108">
        <v>0</v>
      </c>
    </row>
    <row r="60" spans="1:12" ht="15" thickBot="1">
      <c r="A60" s="109">
        <v>45869</v>
      </c>
      <c r="B60" s="110" t="s">
        <v>41</v>
      </c>
      <c r="C60" s="111" t="s">
        <v>88</v>
      </c>
      <c r="D60" s="110" t="s">
        <v>91</v>
      </c>
      <c r="E60" s="111"/>
      <c r="F60" s="112" t="s">
        <v>92</v>
      </c>
      <c r="G60" s="113">
        <v>0</v>
      </c>
      <c r="H60" s="113"/>
      <c r="I60" s="113"/>
      <c r="J60" s="113"/>
      <c r="K60" s="113">
        <v>0</v>
      </c>
      <c r="L60" s="114">
        <v>0</v>
      </c>
    </row>
    <row r="61" spans="1:12">
      <c r="A61" s="40"/>
      <c r="B61" s="40"/>
      <c r="C61" s="42"/>
      <c r="D61" s="40"/>
      <c r="E61" s="42"/>
      <c r="F61" s="43"/>
      <c r="G61" s="45"/>
      <c r="H61" s="44"/>
      <c r="I61" s="44"/>
      <c r="J61" s="44"/>
      <c r="K61" s="45"/>
      <c r="L61" s="102"/>
    </row>
    <row r="62" spans="1:12">
      <c r="A62" s="30"/>
      <c r="B62" s="30"/>
      <c r="C62" s="31"/>
      <c r="D62" s="30"/>
      <c r="E62" s="31"/>
      <c r="F62" s="32"/>
      <c r="G62" s="56"/>
      <c r="H62" s="34">
        <f>+(G62-J62)-(G62-J62)/1.21</f>
        <v>0</v>
      </c>
      <c r="I62" s="34"/>
      <c r="J62" s="34"/>
      <c r="K62" s="31"/>
      <c r="L62" s="26"/>
    </row>
    <row r="63" spans="1:12" ht="15" thickBot="1">
      <c r="A63" s="79" t="s">
        <v>27</v>
      </c>
      <c r="B63" s="79"/>
      <c r="C63" s="79"/>
      <c r="D63" s="79"/>
      <c r="E63" s="79"/>
      <c r="F63" s="79"/>
      <c r="G63" s="54"/>
      <c r="H63" s="55"/>
      <c r="I63" s="55"/>
      <c r="J63" s="55"/>
      <c r="K63" s="54"/>
    </row>
    <row r="64" spans="1:12">
      <c r="A64" s="30"/>
      <c r="B64" s="30"/>
      <c r="C64" s="31"/>
      <c r="D64" s="30"/>
      <c r="E64" s="31"/>
      <c r="F64" s="32"/>
      <c r="G64" s="33"/>
      <c r="H64" s="34"/>
      <c r="I64" s="34"/>
      <c r="J64" s="34"/>
      <c r="K64" s="56"/>
    </row>
    <row r="65" spans="2:12" ht="15" thickBot="1"/>
    <row r="66" spans="2:12" ht="15" thickBot="1">
      <c r="F66" s="58"/>
      <c r="G66" s="59"/>
      <c r="H66" s="60"/>
      <c r="I66" s="60"/>
      <c r="J66" s="60"/>
      <c r="K66" s="61"/>
      <c r="L66" s="61"/>
    </row>
    <row r="67" spans="2:12" ht="15" thickBot="1">
      <c r="B67" s="62"/>
      <c r="F67" s="63" t="s">
        <v>28</v>
      </c>
      <c r="G67" s="64">
        <f>SUM(G39:G66)</f>
        <v>863775.98</v>
      </c>
      <c r="H67" s="65">
        <f>SUM(H39:H66)</f>
        <v>0</v>
      </c>
      <c r="I67" s="65">
        <f>SUM(I39:I66)</f>
        <v>0</v>
      </c>
      <c r="J67" s="65">
        <f>SUM(J39:J65)</f>
        <v>0</v>
      </c>
      <c r="K67" s="64">
        <f>SUM(K40:K66)</f>
        <v>0</v>
      </c>
      <c r="L67" s="64">
        <f>SUM(L5:L65)</f>
        <v>587677.6</v>
      </c>
    </row>
    <row r="70" spans="2:12">
      <c r="H70" s="57">
        <f>+H67/0.105</f>
        <v>0</v>
      </c>
      <c r="I70" s="57">
        <f>+I67/0.105</f>
        <v>0</v>
      </c>
    </row>
  </sheetData>
  <mergeCells count="1"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workbookViewId="0">
      <selection activeCell="I7" sqref="I7:J7"/>
    </sheetView>
  </sheetViews>
  <sheetFormatPr baseColWidth="10" defaultRowHeight="14.25"/>
  <cols>
    <col min="1" max="1" width="19.25" customWidth="1"/>
    <col min="2" max="2" width="13.75" customWidth="1"/>
    <col min="3" max="3" width="14.25" customWidth="1"/>
    <col min="4" max="4" width="10.25" customWidth="1"/>
    <col min="5" max="5" width="14.375" customWidth="1"/>
    <col min="6" max="6" width="19.875" customWidth="1"/>
    <col min="7" max="9" width="16.75" customWidth="1"/>
    <col min="10" max="10" width="17.875" customWidth="1"/>
    <col min="11" max="11" width="24.125" customWidth="1"/>
  </cols>
  <sheetData>
    <row r="1" spans="1:10" ht="20.25">
      <c r="A1" s="233" t="s">
        <v>9</v>
      </c>
      <c r="B1" s="233"/>
      <c r="C1" s="233"/>
      <c r="D1" s="233"/>
      <c r="E1" s="233"/>
      <c r="F1" s="233"/>
    </row>
    <row r="2" spans="1:10" ht="20.25">
      <c r="A2" s="6"/>
      <c r="B2" s="232" t="s">
        <v>0</v>
      </c>
      <c r="C2" s="232"/>
      <c r="D2" s="6"/>
      <c r="E2" s="232" t="s">
        <v>7</v>
      </c>
      <c r="F2" s="232"/>
      <c r="G2" s="6" t="s">
        <v>3</v>
      </c>
      <c r="H2" s="15"/>
      <c r="I2" s="10" t="s">
        <v>93</v>
      </c>
    </row>
    <row r="3" spans="1:10" ht="15.75">
      <c r="A3" s="16" t="s">
        <v>8</v>
      </c>
      <c r="B3" s="16" t="s">
        <v>1</v>
      </c>
      <c r="C3" s="16" t="s">
        <v>2</v>
      </c>
      <c r="D3" s="16" t="s">
        <v>5</v>
      </c>
      <c r="E3" s="16" t="s">
        <v>4</v>
      </c>
      <c r="F3" s="23" t="s">
        <v>6</v>
      </c>
      <c r="G3" s="16" t="s">
        <v>13</v>
      </c>
      <c r="H3" s="24"/>
    </row>
    <row r="4" spans="1:10" ht="21" customHeight="1" thickBot="1">
      <c r="A4" s="14">
        <v>45870</v>
      </c>
      <c r="B4" s="8">
        <f>5+12+6+3</f>
        <v>26</v>
      </c>
      <c r="C4" s="8">
        <f>9+1+6+3</f>
        <v>19</v>
      </c>
      <c r="D4" s="8">
        <f>1+1</f>
        <v>2</v>
      </c>
      <c r="E4" s="69">
        <f>10800+6700+11800+12600+6300</f>
        <v>48200</v>
      </c>
      <c r="F4" s="17">
        <v>0</v>
      </c>
      <c r="G4" s="20">
        <f>E4+F4</f>
        <v>48200</v>
      </c>
      <c r="H4" s="28"/>
      <c r="I4" s="11" t="s">
        <v>10</v>
      </c>
      <c r="J4" s="12">
        <f>SUMIF(F4:F21,"&gt;0")</f>
        <v>677500</v>
      </c>
    </row>
    <row r="5" spans="1:10" ht="21" customHeight="1" thickBot="1">
      <c r="A5" s="14">
        <v>45871</v>
      </c>
      <c r="B5" s="8">
        <f>6+20+2+4+6+6+2+4+6+3</f>
        <v>59</v>
      </c>
      <c r="C5" s="8">
        <f>3+6+6+6+4+4+3+4+6+4+6+5</f>
        <v>57</v>
      </c>
      <c r="D5" s="8">
        <v>2</v>
      </c>
      <c r="E5" s="69">
        <f>2000+3600+12600+7200+9000+4800+9000+9000+8400+12600</f>
        <v>78200</v>
      </c>
      <c r="F5" s="18">
        <f>18000+8400+10200+8700</f>
        <v>45300</v>
      </c>
      <c r="G5" s="20">
        <f>E5+F5</f>
        <v>123500</v>
      </c>
      <c r="H5" s="28"/>
      <c r="I5" s="11" t="s">
        <v>11</v>
      </c>
      <c r="J5" s="13">
        <f>SUMIF(E4:E21,"&gt;0")</f>
        <v>908600</v>
      </c>
    </row>
    <row r="6" spans="1:10" ht="21" customHeight="1" thickBot="1">
      <c r="A6" s="14">
        <v>45872</v>
      </c>
      <c r="B6" s="8">
        <f>3+2+24+6+6+6+6+12+4+15+3+3+6+6+9+6+3+12</f>
        <v>132</v>
      </c>
      <c r="C6" s="8">
        <f>3+6+6+5+3+6+9+12+12+3</f>
        <v>65</v>
      </c>
      <c r="D6" s="8">
        <f>2+1+1+1</f>
        <v>5</v>
      </c>
      <c r="E6" s="69">
        <f>4400+5400+6400+1000+12600+3600+13500+5400+7200+10800</f>
        <v>70300</v>
      </c>
      <c r="F6" s="18">
        <f>6300+21600+12600+10800+8700+6300+12600+19900+19800+14800</f>
        <v>133400</v>
      </c>
      <c r="G6" s="20">
        <f t="shared" ref="G6:G34" si="0">E6+F6</f>
        <v>203700</v>
      </c>
      <c r="H6" s="28"/>
      <c r="I6" t="s">
        <v>3</v>
      </c>
      <c r="J6" s="131">
        <f>J4+J5</f>
        <v>1586100</v>
      </c>
    </row>
    <row r="7" spans="1:10" ht="21" customHeight="1" thickBot="1">
      <c r="A7" s="14">
        <v>45873</v>
      </c>
      <c r="B7" s="8">
        <f>6+3+6+1+3+2</f>
        <v>21</v>
      </c>
      <c r="C7" s="8">
        <f>12+3+6+3</f>
        <v>24</v>
      </c>
      <c r="D7" s="8">
        <v>1</v>
      </c>
      <c r="E7" s="69">
        <f>19800+6900+7300+1800</f>
        <v>35800</v>
      </c>
      <c r="F7" s="19">
        <f>6300+5400</f>
        <v>11700</v>
      </c>
      <c r="G7" s="20">
        <f t="shared" si="0"/>
        <v>47500</v>
      </c>
      <c r="H7" s="28"/>
      <c r="I7" s="234" t="s">
        <v>14</v>
      </c>
      <c r="J7" s="234"/>
    </row>
    <row r="8" spans="1:10" ht="21" customHeight="1" thickBot="1">
      <c r="A8" s="14">
        <v>45874</v>
      </c>
      <c r="B8" s="8">
        <f>6+2+12+4</f>
        <v>24</v>
      </c>
      <c r="C8" s="8">
        <f>4+6+2+4</f>
        <v>16</v>
      </c>
      <c r="D8" s="8">
        <v>1</v>
      </c>
      <c r="E8" s="69">
        <f>4800+10800+4800+3600</f>
        <v>24000</v>
      </c>
      <c r="F8" s="19">
        <f>12600+5200</f>
        <v>17800</v>
      </c>
      <c r="G8" s="20">
        <f t="shared" si="0"/>
        <v>41800</v>
      </c>
      <c r="I8" s="27" t="s">
        <v>1</v>
      </c>
      <c r="J8" s="27" t="s">
        <v>2</v>
      </c>
    </row>
    <row r="9" spans="1:10" ht="21" customHeight="1" thickBot="1">
      <c r="A9" s="14">
        <v>45875</v>
      </c>
      <c r="B9" s="8">
        <f>2+4+2+6+2</f>
        <v>16</v>
      </c>
      <c r="C9" s="8">
        <f>12+4+4+6+6</f>
        <v>32</v>
      </c>
      <c r="D9" s="8"/>
      <c r="E9" s="69">
        <f>14400+1800+8400+6600+12600+1800</f>
        <v>45600</v>
      </c>
      <c r="F9" s="100">
        <f>7200</f>
        <v>7200</v>
      </c>
      <c r="G9" s="20">
        <f t="shared" si="0"/>
        <v>52800</v>
      </c>
      <c r="I9" s="29">
        <f>SUM(B4:B20)</f>
        <v>806</v>
      </c>
      <c r="J9" s="29">
        <f>SUM(C4:C20)</f>
        <v>641</v>
      </c>
    </row>
    <row r="10" spans="1:10" ht="21" customHeight="1" thickBot="1">
      <c r="A10" s="14">
        <v>45876</v>
      </c>
      <c r="B10" s="8">
        <f>6+3+3</f>
        <v>12</v>
      </c>
      <c r="C10" s="8">
        <v>3</v>
      </c>
      <c r="D10" s="8">
        <f>1+2</f>
        <v>3</v>
      </c>
      <c r="E10" s="69">
        <v>0</v>
      </c>
      <c r="F10" s="100">
        <f>8200+2700+6300+2000</f>
        <v>19200</v>
      </c>
      <c r="G10" s="20">
        <f t="shared" si="0"/>
        <v>19200</v>
      </c>
    </row>
    <row r="11" spans="1:10" ht="21" customHeight="1" thickBot="1">
      <c r="A11" s="14">
        <v>45877</v>
      </c>
      <c r="B11" s="8">
        <f>15+2+4+4+6+6+1+4+2</f>
        <v>44</v>
      </c>
      <c r="C11" s="8">
        <f>3+8+4+6+6+1+3+4+2</f>
        <v>37</v>
      </c>
      <c r="D11" s="8">
        <v>3</v>
      </c>
      <c r="E11" s="69">
        <f>13500+9300+8400+12600+7200+2100+3600+4200</f>
        <v>60900</v>
      </c>
      <c r="F11" s="100">
        <f>13200+8400+5400</f>
        <v>27000</v>
      </c>
      <c r="G11" s="20">
        <f t="shared" si="0"/>
        <v>87900</v>
      </c>
    </row>
    <row r="12" spans="1:10" ht="21" customHeight="1" thickBot="1">
      <c r="A12" s="14">
        <v>45878</v>
      </c>
      <c r="B12" s="8">
        <f>3+3+4+8+6+5+4+1+6+2+3+10+2+6+12</f>
        <v>75</v>
      </c>
      <c r="C12" s="8">
        <f>2+1+3+4+8+6+6+2+5+2+1+6+4+3+4+6+1</f>
        <v>64</v>
      </c>
      <c r="D12" s="8">
        <f>2+2</f>
        <v>4</v>
      </c>
      <c r="E12" s="69">
        <f>4400+3900+6300+8400+7200+9000+6900+9600+3300+1200+6300+9000+6600</f>
        <v>82100</v>
      </c>
      <c r="F12" s="100">
        <f>9600+9200+5400+12600+6600+5400+10800+7200+1200</f>
        <v>68000</v>
      </c>
      <c r="G12" s="20">
        <f t="shared" si="0"/>
        <v>150100</v>
      </c>
    </row>
    <row r="13" spans="1:10" ht="21" customHeight="1" thickBot="1">
      <c r="A13" s="14">
        <v>45879</v>
      </c>
      <c r="B13" s="8">
        <f>6+2+5+4+4+6+9+6+6+12+2+6+18+6+9+6+6+6+3+6</f>
        <v>128</v>
      </c>
      <c r="C13" s="8">
        <f>3+6+2+4+3+6+3+2+9+6+9+5+6+10+4+6+6+2+3+6+12+6+3+6+18+4</f>
        <v>150</v>
      </c>
      <c r="D13" s="8">
        <f>2+1+1+3+1+2+3</f>
        <v>13</v>
      </c>
      <c r="E13" s="69">
        <f>3600+2000+4200+4500+9400+7200+8200+3600+7800+18900+6000+6600+11700+16000+14600+12600+21600+3000</f>
        <v>161500</v>
      </c>
      <c r="F13" s="100">
        <f>12600+12600+10800+15600+12000+10800+13600+23400+7800+12600+3800+6300+4800</f>
        <v>146700</v>
      </c>
      <c r="G13" s="20">
        <f t="shared" si="0"/>
        <v>308200</v>
      </c>
    </row>
    <row r="14" spans="1:10" ht="21" customHeight="1" thickBot="1">
      <c r="A14" s="14">
        <v>45880</v>
      </c>
      <c r="B14" s="8">
        <f>8+6+2+3</f>
        <v>19</v>
      </c>
      <c r="C14" s="8">
        <f>1+3</f>
        <v>4</v>
      </c>
      <c r="D14" s="8">
        <v>2</v>
      </c>
      <c r="E14" s="69">
        <f>9200+5400+3000</f>
        <v>17600</v>
      </c>
      <c r="F14" s="100">
        <f>6300</f>
        <v>6300</v>
      </c>
      <c r="G14" s="20">
        <f t="shared" si="0"/>
        <v>23900</v>
      </c>
      <c r="I14" s="97"/>
    </row>
    <row r="15" spans="1:10" ht="21" customHeight="1" thickBot="1">
      <c r="A15" s="14">
        <v>45881</v>
      </c>
      <c r="B15" s="8">
        <f>3+3+4</f>
        <v>10</v>
      </c>
      <c r="C15" s="8">
        <f>3+2</f>
        <v>5</v>
      </c>
      <c r="D15" s="8">
        <v>1</v>
      </c>
      <c r="E15" s="69">
        <f>6300+5400+4600</f>
        <v>16300</v>
      </c>
      <c r="F15" s="19"/>
      <c r="G15" s="20">
        <f t="shared" si="0"/>
        <v>16300</v>
      </c>
    </row>
    <row r="16" spans="1:10" ht="21" customHeight="1" thickBot="1">
      <c r="A16" s="14">
        <v>45882</v>
      </c>
      <c r="B16" s="8">
        <f>4+1+2</f>
        <v>7</v>
      </c>
      <c r="C16" s="8">
        <f>4+5+2+2+2</f>
        <v>15</v>
      </c>
      <c r="D16" s="8">
        <v>1</v>
      </c>
      <c r="E16" s="69">
        <f>8400+7200+3300+5200</f>
        <v>24100</v>
      </c>
      <c r="F16" s="19">
        <f>2400</f>
        <v>2400</v>
      </c>
      <c r="G16" s="20">
        <f t="shared" si="0"/>
        <v>26500</v>
      </c>
    </row>
    <row r="17" spans="1:7" ht="21" customHeight="1" thickBot="1">
      <c r="A17" s="14">
        <v>45883</v>
      </c>
      <c r="B17" s="8">
        <f>3+6+5+3+4+12</f>
        <v>33</v>
      </c>
      <c r="C17" s="8">
        <f>3+6+2</f>
        <v>11</v>
      </c>
      <c r="D17" s="8">
        <v>1</v>
      </c>
      <c r="E17" s="69">
        <f>6300+4500+5100+11800</f>
        <v>27700</v>
      </c>
      <c r="F17" s="19">
        <f>12600+3600</f>
        <v>16200</v>
      </c>
      <c r="G17" s="20">
        <f t="shared" si="0"/>
        <v>43900</v>
      </c>
    </row>
    <row r="18" spans="1:7" ht="21" customHeight="1" thickBot="1">
      <c r="A18" s="14">
        <v>45884</v>
      </c>
      <c r="B18" s="8">
        <f>3+24+3+2</f>
        <v>32</v>
      </c>
      <c r="C18" s="8">
        <f>8+4+3+3+3+6+12</f>
        <v>39</v>
      </c>
      <c r="D18" s="8">
        <f>1+1</f>
        <v>2</v>
      </c>
      <c r="E18" s="69">
        <f>9600+7300+3600+2800+14400</f>
        <v>37700</v>
      </c>
      <c r="F18" s="19">
        <f>4800+21600+6300+7200</f>
        <v>39900</v>
      </c>
      <c r="G18" s="20">
        <f t="shared" si="0"/>
        <v>77600</v>
      </c>
    </row>
    <row r="19" spans="1:7" ht="21" customHeight="1" thickBot="1">
      <c r="A19" s="14">
        <v>45885</v>
      </c>
      <c r="B19" s="8">
        <f>4+4+6+6+6+6+6+8+4</f>
        <v>50</v>
      </c>
      <c r="C19" s="8">
        <f>2+6+6+4+10+1+6</f>
        <v>35</v>
      </c>
      <c r="D19" s="8">
        <v>2</v>
      </c>
      <c r="E19" s="69">
        <f>6000+5600+12600+5400+4800+5400+5000+1200</f>
        <v>46000</v>
      </c>
      <c r="F19" s="19">
        <f>12600+7000+12600+7200+3600</f>
        <v>43000</v>
      </c>
      <c r="G19" s="20">
        <f t="shared" si="0"/>
        <v>89000</v>
      </c>
    </row>
    <row r="20" spans="1:7" ht="21" customHeight="1" thickBot="1">
      <c r="A20" s="14">
        <v>45886</v>
      </c>
      <c r="B20" s="8">
        <f>3+6+6+3+6+4+8+12+5+6+6+4+3+8+5+3+6+4+8+2+6+4</f>
        <v>118</v>
      </c>
      <c r="C20" s="8">
        <f>1+6+12+3+6+2+4+4+6+6+1+3+4+2+5</f>
        <v>65</v>
      </c>
      <c r="D20" s="8">
        <v>7</v>
      </c>
      <c r="E20" s="69">
        <f>3900+6400+7200+6300+12600+6000+10800+12600+7200+5700+5400+4600+12000+5200+5400</f>
        <v>111300</v>
      </c>
      <c r="F20" s="19">
        <f>19800+12000+9300+14600+4600+3700+6300+9600</f>
        <v>79900</v>
      </c>
      <c r="G20" s="20">
        <f>E20+F20</f>
        <v>191200</v>
      </c>
    </row>
    <row r="21" spans="1:7" ht="21" customHeight="1" thickBot="1">
      <c r="A21" s="14">
        <v>45887</v>
      </c>
      <c r="B21" s="8">
        <f>3+3+2</f>
        <v>8</v>
      </c>
      <c r="C21" s="8">
        <f>6+3+7+1</f>
        <v>17</v>
      </c>
      <c r="D21" s="8"/>
      <c r="E21" s="69">
        <f>2700+8400+3000+7200</f>
        <v>21300</v>
      </c>
      <c r="F21" s="19">
        <f>7200+6300</f>
        <v>13500</v>
      </c>
      <c r="G21" s="20">
        <f t="shared" si="0"/>
        <v>34800</v>
      </c>
    </row>
    <row r="22" spans="1:7" ht="21" customHeight="1" thickBot="1">
      <c r="A22" s="14">
        <v>45888</v>
      </c>
      <c r="B22" s="8">
        <f>3</f>
        <v>3</v>
      </c>
      <c r="C22" s="8">
        <f>8+4+2</f>
        <v>14</v>
      </c>
      <c r="D22" s="8">
        <f>2+1</f>
        <v>3</v>
      </c>
      <c r="E22" s="69">
        <f>9600+2400</f>
        <v>12000</v>
      </c>
      <c r="F22" s="19">
        <f>2000+2700+5800</f>
        <v>10500</v>
      </c>
      <c r="G22" s="20">
        <f t="shared" si="0"/>
        <v>22500</v>
      </c>
    </row>
    <row r="23" spans="1:7" ht="21" customHeight="1" thickBot="1">
      <c r="A23" s="14">
        <v>45889</v>
      </c>
      <c r="B23" s="8">
        <f>1+3+3+2+6+3+2</f>
        <v>20</v>
      </c>
      <c r="C23" s="8">
        <f>3+8+3+6+4+3+4</f>
        <v>31</v>
      </c>
      <c r="D23" s="8">
        <v>1</v>
      </c>
      <c r="E23" s="69">
        <f>900+6300+9600+6600+5400+6600</f>
        <v>35400</v>
      </c>
      <c r="F23" s="19">
        <f>6300+8200+6300</f>
        <v>20800</v>
      </c>
      <c r="G23" s="20">
        <f t="shared" si="0"/>
        <v>56200</v>
      </c>
    </row>
    <row r="24" spans="1:7" ht="21" customHeight="1" thickBot="1">
      <c r="A24" s="14">
        <v>45890</v>
      </c>
      <c r="B24" s="8">
        <f>3+12+6+6+2+12</f>
        <v>41</v>
      </c>
      <c r="C24" s="8">
        <f>6+6+1+6</f>
        <v>19</v>
      </c>
      <c r="D24" s="8"/>
      <c r="E24" s="69">
        <f>2700+10800+12600+12600+1600+1200+10800+7200</f>
        <v>59500</v>
      </c>
      <c r="F24" s="19"/>
      <c r="G24" s="20">
        <f t="shared" si="0"/>
        <v>59500</v>
      </c>
    </row>
    <row r="25" spans="1:7" ht="21" customHeight="1" thickBot="1">
      <c r="A25" s="14">
        <v>45891</v>
      </c>
      <c r="B25" s="8">
        <f>6+4+2+6+4+12+6+6</f>
        <v>46</v>
      </c>
      <c r="C25" s="8">
        <f>6+10+4+6+2+6+2+12</f>
        <v>48</v>
      </c>
      <c r="D25" s="8"/>
      <c r="E25" s="69">
        <f>16600+8600+6000</f>
        <v>31200</v>
      </c>
      <c r="F25" s="19">
        <f>12600+12600+10800+12600+7800+14400</f>
        <v>70800</v>
      </c>
      <c r="G25" s="20">
        <f t="shared" si="0"/>
        <v>102000</v>
      </c>
    </row>
    <row r="26" spans="1:7" ht="21" customHeight="1" thickBot="1">
      <c r="A26" s="14">
        <v>45892</v>
      </c>
      <c r="B26" s="8">
        <f>2+6+6+3+6+4+6+1+12+2+6+2+6+3+4+1+2+8+9+2+15</f>
        <v>106</v>
      </c>
      <c r="C26" s="8">
        <f>4+6+6+3+6+4+9+6+2+3+8+4+4+3+2</f>
        <v>70</v>
      </c>
      <c r="D26" s="8">
        <f>2+1+3+1+1+1</f>
        <v>9</v>
      </c>
      <c r="E26" s="69">
        <f>6600+12600+7400+2000+7300+8400+5400+11700+18000+4800+6300+13200+1000+5700+6600+8200+11700+5200+13500</f>
        <v>155600</v>
      </c>
      <c r="F26" s="19">
        <f>5200+12600+4200+5400+5400</f>
        <v>32800</v>
      </c>
      <c r="G26" s="20">
        <f t="shared" si="0"/>
        <v>188400</v>
      </c>
    </row>
    <row r="27" spans="1:7" ht="21" customHeight="1" thickBot="1">
      <c r="A27" s="14">
        <v>45893</v>
      </c>
      <c r="B27" s="8">
        <f>8+6+9+3+2+4+12+12+6+6+6+1+12+8+4+4+6+5+8</f>
        <v>122</v>
      </c>
      <c r="C27" s="8">
        <f>6+3+6+2+1+8+12+6+5+4+4+12+7</f>
        <v>76</v>
      </c>
      <c r="D27" s="8">
        <f>2+2+2+1+1</f>
        <v>8</v>
      </c>
      <c r="E27" s="69">
        <f>7200+12600+11700+11900+13200+10800+12600+5400+5400+6900+10800+12000+1000+19800+7200</f>
        <v>148500</v>
      </c>
      <c r="F27" s="19">
        <f>4200+3200+25200+10400+3600+13900</f>
        <v>60500</v>
      </c>
      <c r="G27" s="20">
        <f t="shared" si="0"/>
        <v>209000</v>
      </c>
    </row>
    <row r="28" spans="1:7" ht="21" customHeight="1" thickBot="1">
      <c r="A28" s="14">
        <v>45894</v>
      </c>
      <c r="B28" s="8">
        <f>6+6+4</f>
        <v>16</v>
      </c>
      <c r="C28" s="8">
        <v>4</v>
      </c>
      <c r="D28" s="8"/>
      <c r="E28" s="69">
        <v>5400</v>
      </c>
      <c r="F28" s="19">
        <f>5400+8400</f>
        <v>13800</v>
      </c>
      <c r="G28" s="20">
        <f t="shared" si="0"/>
        <v>19200</v>
      </c>
    </row>
    <row r="29" spans="1:7" ht="21" customHeight="1" thickBot="1">
      <c r="A29" s="14">
        <v>45895</v>
      </c>
      <c r="B29" s="8">
        <f>4+1+1+3+2+2+2+3+6</f>
        <v>24</v>
      </c>
      <c r="C29" s="8">
        <f>2+1+4+3+6+4+1+3+6+6</f>
        <v>36</v>
      </c>
      <c r="D29" s="8">
        <f>1+2</f>
        <v>3</v>
      </c>
      <c r="E29" s="69">
        <f>6000+2100+4800+7200+6600+3000+5400+9200</f>
        <v>44300</v>
      </c>
      <c r="F29" s="19">
        <f>900+6300+7300+7200</f>
        <v>21700</v>
      </c>
      <c r="G29" s="20">
        <f t="shared" si="0"/>
        <v>66000</v>
      </c>
    </row>
    <row r="30" spans="1:7" ht="21" customHeight="1" thickBot="1">
      <c r="A30" s="14">
        <v>45896</v>
      </c>
      <c r="B30" s="8">
        <f>6+10+1+2</f>
        <v>19</v>
      </c>
      <c r="C30" s="8">
        <f>2+3+6+4</f>
        <v>15</v>
      </c>
      <c r="D30" s="8"/>
      <c r="E30" s="69">
        <f>5400+9000+1800+7200+4800</f>
        <v>28200</v>
      </c>
      <c r="F30" s="19">
        <f>2400+4500</f>
        <v>6900</v>
      </c>
      <c r="G30" s="20">
        <f t="shared" si="0"/>
        <v>35100</v>
      </c>
    </row>
    <row r="31" spans="1:7" ht="21" customHeight="1" thickBot="1">
      <c r="A31" s="14">
        <v>45897</v>
      </c>
      <c r="B31" s="8">
        <f>9+6+3</f>
        <v>18</v>
      </c>
      <c r="C31" s="8">
        <f>9+6+2+12+2</f>
        <v>31</v>
      </c>
      <c r="D31" s="8">
        <v>2</v>
      </c>
      <c r="E31" s="69">
        <f>18900+7800+2700+4400</f>
        <v>33800</v>
      </c>
      <c r="F31" s="19">
        <f>7200+14400</f>
        <v>21600</v>
      </c>
      <c r="G31" s="20">
        <f t="shared" si="0"/>
        <v>55400</v>
      </c>
    </row>
    <row r="32" spans="1:7" ht="21" customHeight="1" thickBot="1">
      <c r="A32" s="14">
        <v>45898</v>
      </c>
      <c r="B32" s="8">
        <f>3+6+3+2+2+6+4</f>
        <v>26</v>
      </c>
      <c r="C32" s="8">
        <f>3+4+4+4+6+2+8</f>
        <v>31</v>
      </c>
      <c r="D32" s="8">
        <v>4</v>
      </c>
      <c r="E32" s="69">
        <f>2700+10600+6600+13200</f>
        <v>33100</v>
      </c>
      <c r="F32" s="19">
        <f>5400+6300+4800+12600+2400</f>
        <v>31500</v>
      </c>
      <c r="G32" s="20">
        <f t="shared" si="0"/>
        <v>64600</v>
      </c>
    </row>
    <row r="33" spans="1:7" ht="21" customHeight="1" thickBot="1">
      <c r="A33" s="14">
        <v>45899</v>
      </c>
      <c r="B33" s="8">
        <f>2+6</f>
        <v>8</v>
      </c>
      <c r="C33" s="8">
        <f>2+9+4+6+12+9</f>
        <v>42</v>
      </c>
      <c r="D33" s="8">
        <f>2+2</f>
        <v>4</v>
      </c>
      <c r="E33" s="69">
        <f>2400+6600+7200+21800+10800+2000</f>
        <v>50800</v>
      </c>
      <c r="F33" s="19">
        <f>10800</f>
        <v>10800</v>
      </c>
      <c r="G33" s="20">
        <f t="shared" si="0"/>
        <v>61600</v>
      </c>
    </row>
    <row r="34" spans="1:7" ht="21" customHeight="1" thickBot="1">
      <c r="A34" s="14">
        <v>45900</v>
      </c>
      <c r="B34" s="8">
        <f>4+1+3+18+6</f>
        <v>32</v>
      </c>
      <c r="C34" s="8">
        <f>2+2+5</f>
        <v>9</v>
      </c>
      <c r="D34" s="8"/>
      <c r="E34" s="69">
        <f>3300+8700+16200+5400</f>
        <v>33600</v>
      </c>
      <c r="F34" s="19">
        <f>6000</f>
        <v>6000</v>
      </c>
      <c r="G34" s="20">
        <f t="shared" si="0"/>
        <v>39600</v>
      </c>
    </row>
    <row r="35" spans="1:7" ht="21" customHeight="1">
      <c r="A35" s="14"/>
      <c r="B35" s="9"/>
      <c r="C35" s="9"/>
      <c r="D35" s="9"/>
      <c r="E35" s="9"/>
      <c r="F35" s="9"/>
    </row>
    <row r="36" spans="1:7" ht="21" customHeight="1">
      <c r="A36" s="14"/>
      <c r="B36" s="9"/>
      <c r="C36" s="9"/>
      <c r="D36" s="9"/>
      <c r="E36" s="9"/>
      <c r="F36" s="9"/>
    </row>
    <row r="37" spans="1:7" ht="21" customHeight="1">
      <c r="A37" s="14"/>
      <c r="B37" s="9"/>
      <c r="C37" s="9"/>
      <c r="D37" s="9"/>
      <c r="E37" s="9"/>
      <c r="F37" s="9"/>
    </row>
    <row r="38" spans="1:7" ht="21" customHeight="1">
      <c r="A38" s="14"/>
      <c r="B38" s="9"/>
      <c r="C38" s="9"/>
      <c r="D38" s="9"/>
      <c r="E38" s="9"/>
      <c r="F38" s="9"/>
    </row>
    <row r="39" spans="1:7" ht="21" customHeight="1">
      <c r="A39" s="14"/>
      <c r="B39" s="9"/>
      <c r="C39" s="9"/>
      <c r="D39" s="9"/>
      <c r="E39" s="9"/>
      <c r="F39" s="9"/>
    </row>
    <row r="40" spans="1:7" ht="21" customHeight="1">
      <c r="A40" s="14"/>
      <c r="B40" s="9"/>
      <c r="C40" s="9"/>
      <c r="D40" s="9"/>
      <c r="E40" s="9"/>
      <c r="F40" s="9"/>
    </row>
    <row r="41" spans="1:7" ht="21" customHeight="1">
      <c r="A41" s="9"/>
      <c r="B41" s="9"/>
      <c r="C41" s="9"/>
      <c r="D41" s="9"/>
      <c r="E41" s="9"/>
      <c r="F41" s="9"/>
    </row>
    <row r="42" spans="1:7" ht="20.25">
      <c r="A42" s="7"/>
      <c r="B42" s="7"/>
      <c r="C42" s="7"/>
      <c r="D42" s="7"/>
      <c r="E42" s="7"/>
      <c r="F42" s="7"/>
    </row>
    <row r="43" spans="1:7" ht="20.25">
      <c r="A43" s="7"/>
      <c r="B43" s="7"/>
      <c r="C43" s="7"/>
      <c r="D43" s="7"/>
      <c r="E43" s="7"/>
      <c r="F43" s="7"/>
    </row>
    <row r="44" spans="1:7" ht="20.25">
      <c r="A44" s="7"/>
      <c r="B44" s="7"/>
      <c r="C44" s="7"/>
      <c r="D44" s="7"/>
      <c r="E44" s="7"/>
      <c r="F44" s="7"/>
    </row>
  </sheetData>
  <mergeCells count="4">
    <mergeCell ref="A1:F1"/>
    <mergeCell ref="B2:C2"/>
    <mergeCell ref="E2:F2"/>
    <mergeCell ref="I7:J7"/>
  </mergeCells>
  <pageMargins left="0.7" right="0.7" top="0.75" bottom="0.75" header="0.3" footer="0.3"/>
  <pageSetup orientation="portrait" copies="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DD87-C259-4419-B5D8-37F95B899120}">
  <dimension ref="A1:BB102"/>
  <sheetViews>
    <sheetView topLeftCell="E1" zoomScale="106" zoomScaleNormal="106" workbookViewId="0">
      <pane ySplit="3" topLeftCell="A25" activePane="bottomLeft" state="frozen"/>
      <selection activeCell="F39" sqref="F39"/>
      <selection pane="bottomLeft" activeCell="G4" sqref="G4:G33"/>
    </sheetView>
  </sheetViews>
  <sheetFormatPr baseColWidth="10" defaultRowHeight="14.25"/>
  <cols>
    <col min="1" max="1" width="11" style="25"/>
    <col min="2" max="2" width="9.375" style="25" customWidth="1"/>
    <col min="3" max="3" width="19" style="25" customWidth="1"/>
    <col min="4" max="4" width="32.125" style="25" customWidth="1"/>
    <col min="5" max="5" width="10.125" style="25" customWidth="1"/>
    <col min="6" max="6" width="72.875" style="25" customWidth="1"/>
    <col min="7" max="7" width="13.75" style="25" customWidth="1"/>
    <col min="8" max="8" width="15.25" style="57" hidden="1" customWidth="1"/>
    <col min="9" max="9" width="15.625" style="57" hidden="1" customWidth="1"/>
    <col min="10" max="10" width="13.25" style="57" hidden="1" customWidth="1"/>
    <col min="11" max="11" width="15.625" style="25" customWidth="1"/>
    <col min="12" max="12" width="16.375" bestFit="1" customWidth="1"/>
    <col min="13" max="13" width="14.5" customWidth="1"/>
  </cols>
  <sheetData>
    <row r="1" spans="1:13" s="85" customFormat="1">
      <c r="A1" s="80" t="s">
        <v>15</v>
      </c>
      <c r="B1" s="81"/>
      <c r="C1" s="81"/>
      <c r="D1" s="81"/>
      <c r="E1" s="81"/>
      <c r="F1" s="81"/>
      <c r="G1" s="81"/>
      <c r="H1" s="82"/>
      <c r="I1" s="82"/>
      <c r="J1" s="82"/>
      <c r="K1" s="83"/>
      <c r="L1" s="84"/>
      <c r="M1" s="84"/>
    </row>
    <row r="2" spans="1:13" s="85" customFormat="1">
      <c r="A2" s="86"/>
      <c r="B2" s="87"/>
      <c r="C2" s="87"/>
      <c r="D2" s="87"/>
      <c r="E2" s="87"/>
      <c r="F2" s="87"/>
      <c r="G2" s="87"/>
      <c r="H2" s="88"/>
      <c r="I2" s="88"/>
      <c r="J2" s="88"/>
      <c r="K2" s="235" t="s">
        <v>25</v>
      </c>
      <c r="L2" s="235"/>
      <c r="M2" s="235"/>
    </row>
    <row r="3" spans="1:13" s="85" customFormat="1">
      <c r="A3" s="90" t="s">
        <v>16</v>
      </c>
      <c r="B3" s="90" t="s">
        <v>17</v>
      </c>
      <c r="C3" s="90" t="s">
        <v>18</v>
      </c>
      <c r="D3" s="90" t="s">
        <v>19</v>
      </c>
      <c r="E3" s="90" t="s">
        <v>87</v>
      </c>
      <c r="F3" s="90" t="s">
        <v>20</v>
      </c>
      <c r="G3" s="90" t="s">
        <v>21</v>
      </c>
      <c r="H3" s="91" t="s">
        <v>22</v>
      </c>
      <c r="I3" s="91" t="s">
        <v>23</v>
      </c>
      <c r="J3" s="91" t="s">
        <v>24</v>
      </c>
      <c r="K3" s="142" t="s">
        <v>4</v>
      </c>
      <c r="L3" s="143" t="s">
        <v>37</v>
      </c>
      <c r="M3" s="144" t="s">
        <v>126</v>
      </c>
    </row>
    <row r="4" spans="1:13">
      <c r="A4" s="47">
        <v>45906</v>
      </c>
      <c r="B4" s="48" t="s">
        <v>41</v>
      </c>
      <c r="C4" s="37" t="s">
        <v>32</v>
      </c>
      <c r="D4" s="35" t="s">
        <v>119</v>
      </c>
      <c r="E4" s="37">
        <v>1</v>
      </c>
      <c r="F4" s="38" t="s">
        <v>36</v>
      </c>
      <c r="G4" s="50">
        <v>41000</v>
      </c>
      <c r="H4" s="39"/>
      <c r="I4" s="39"/>
      <c r="J4" s="39"/>
      <c r="K4" s="50">
        <v>41000</v>
      </c>
      <c r="L4" s="50"/>
    </row>
    <row r="5" spans="1:13">
      <c r="A5" s="35">
        <v>45907</v>
      </c>
      <c r="B5" s="152" t="s">
        <v>41</v>
      </c>
      <c r="C5" s="152" t="s">
        <v>30</v>
      </c>
      <c r="D5" s="153" t="s">
        <v>33</v>
      </c>
      <c r="E5" s="152">
        <v>400</v>
      </c>
      <c r="F5" s="154" t="s">
        <v>34</v>
      </c>
      <c r="G5" s="158">
        <v>62400</v>
      </c>
      <c r="H5" s="156"/>
      <c r="I5" s="39"/>
      <c r="J5" s="39"/>
      <c r="K5" s="33"/>
      <c r="L5" s="33"/>
    </row>
    <row r="6" spans="1:13">
      <c r="A6" s="150">
        <v>45907</v>
      </c>
      <c r="B6" s="48" t="s">
        <v>41</v>
      </c>
      <c r="C6" s="151" t="s">
        <v>31</v>
      </c>
      <c r="D6" s="47" t="s">
        <v>33</v>
      </c>
      <c r="E6" s="48">
        <v>400</v>
      </c>
      <c r="F6" s="155" t="s">
        <v>115</v>
      </c>
      <c r="G6" s="159">
        <v>143200</v>
      </c>
      <c r="H6" s="157"/>
      <c r="I6" s="51"/>
      <c r="J6" s="51"/>
      <c r="K6" s="33"/>
      <c r="L6" s="33"/>
    </row>
    <row r="7" spans="1:13">
      <c r="A7" s="47">
        <v>45907</v>
      </c>
      <c r="B7" s="48" t="s">
        <v>41</v>
      </c>
      <c r="C7" s="48" t="s">
        <v>32</v>
      </c>
      <c r="D7" s="47" t="s">
        <v>33</v>
      </c>
      <c r="E7" s="48">
        <v>2</v>
      </c>
      <c r="F7" s="155" t="s">
        <v>48</v>
      </c>
      <c r="G7" s="160">
        <v>51000</v>
      </c>
      <c r="H7" s="156"/>
      <c r="I7" s="39"/>
      <c r="J7" s="39"/>
      <c r="K7" s="50">
        <f>SUM(G5:G7)</f>
        <v>256600</v>
      </c>
      <c r="L7" s="50"/>
    </row>
    <row r="8" spans="1:13">
      <c r="A8" s="30">
        <v>45910</v>
      </c>
      <c r="B8" s="31" t="s">
        <v>41</v>
      </c>
      <c r="C8" s="31" t="s">
        <v>127</v>
      </c>
      <c r="D8" s="30" t="s">
        <v>121</v>
      </c>
      <c r="E8" s="31">
        <v>1</v>
      </c>
      <c r="F8" s="32" t="s">
        <v>128</v>
      </c>
      <c r="G8" s="45">
        <f>12000+10000</f>
        <v>22000</v>
      </c>
      <c r="H8" s="51"/>
      <c r="I8" s="51"/>
      <c r="J8" s="51"/>
      <c r="K8" s="33">
        <f>G8</f>
        <v>22000</v>
      </c>
      <c r="L8" s="33"/>
    </row>
    <row r="9" spans="1:13">
      <c r="A9" s="30">
        <v>45911</v>
      </c>
      <c r="B9" s="30" t="s">
        <v>41</v>
      </c>
      <c r="C9" s="31" t="s">
        <v>46</v>
      </c>
      <c r="D9" s="30" t="s">
        <v>44</v>
      </c>
      <c r="E9" s="31">
        <v>1</v>
      </c>
      <c r="F9" s="32" t="s">
        <v>129</v>
      </c>
      <c r="G9" s="33">
        <v>14384</v>
      </c>
      <c r="H9" s="34"/>
      <c r="I9" s="34"/>
      <c r="J9" s="34"/>
      <c r="K9" s="33"/>
      <c r="L9" s="33">
        <f>G9</f>
        <v>14384</v>
      </c>
    </row>
    <row r="10" spans="1:13">
      <c r="A10" s="30">
        <v>45911</v>
      </c>
      <c r="B10" s="31" t="s">
        <v>41</v>
      </c>
      <c r="C10" s="31" t="s">
        <v>46</v>
      </c>
      <c r="D10" s="31" t="s">
        <v>56</v>
      </c>
      <c r="E10" s="31">
        <v>1</v>
      </c>
      <c r="F10" s="32" t="s">
        <v>130</v>
      </c>
      <c r="G10" s="33">
        <v>11677.6</v>
      </c>
      <c r="H10" s="33"/>
      <c r="I10" s="33"/>
      <c r="J10" s="33"/>
      <c r="K10" s="33"/>
      <c r="L10" s="33">
        <f>G10</f>
        <v>11677.6</v>
      </c>
    </row>
    <row r="11" spans="1:13">
      <c r="A11" s="47">
        <v>45912</v>
      </c>
      <c r="B11" s="48" t="s">
        <v>41</v>
      </c>
      <c r="C11" s="31" t="s">
        <v>32</v>
      </c>
      <c r="D11" s="30" t="s">
        <v>47</v>
      </c>
      <c r="E11" s="31">
        <v>2</v>
      </c>
      <c r="F11" s="32" t="s">
        <v>48</v>
      </c>
      <c r="G11" s="50">
        <v>51000</v>
      </c>
      <c r="H11" s="39"/>
      <c r="I11" s="39"/>
      <c r="J11" s="39"/>
      <c r="K11" s="50">
        <f>SUM(G11)</f>
        <v>51000</v>
      </c>
      <c r="L11" s="50"/>
    </row>
    <row r="12" spans="1:13">
      <c r="A12" s="35">
        <v>45907</v>
      </c>
      <c r="B12" s="37" t="s">
        <v>41</v>
      </c>
      <c r="C12" s="48" t="s">
        <v>30</v>
      </c>
      <c r="D12" s="47" t="s">
        <v>33</v>
      </c>
      <c r="E12" s="48">
        <v>400</v>
      </c>
      <c r="F12" s="49" t="s">
        <v>34</v>
      </c>
      <c r="G12" s="52">
        <v>62400</v>
      </c>
      <c r="H12" s="39"/>
      <c r="I12" s="39"/>
      <c r="J12" s="39"/>
      <c r="K12" s="52"/>
      <c r="L12" s="52"/>
    </row>
    <row r="13" spans="1:13" s="149" customFormat="1">
      <c r="A13" s="145">
        <v>45907</v>
      </c>
      <c r="B13" s="48" t="s">
        <v>41</v>
      </c>
      <c r="C13" s="48" t="s">
        <v>31</v>
      </c>
      <c r="D13" s="145" t="s">
        <v>33</v>
      </c>
      <c r="E13" s="48">
        <v>400</v>
      </c>
      <c r="F13" s="146" t="s">
        <v>115</v>
      </c>
      <c r="G13" s="50">
        <v>143200</v>
      </c>
      <c r="H13" s="148"/>
      <c r="I13" s="148"/>
      <c r="J13" s="148"/>
      <c r="K13" s="147"/>
      <c r="L13" s="50"/>
    </row>
    <row r="14" spans="1:13">
      <c r="A14" s="47">
        <v>45907</v>
      </c>
      <c r="B14" s="42" t="s">
        <v>41</v>
      </c>
      <c r="C14" s="48" t="s">
        <v>31</v>
      </c>
      <c r="D14" s="47" t="s">
        <v>33</v>
      </c>
      <c r="E14" s="48">
        <v>400</v>
      </c>
      <c r="F14" s="49" t="s">
        <v>131</v>
      </c>
      <c r="G14" s="45">
        <v>143200</v>
      </c>
      <c r="H14" s="51"/>
      <c r="I14" s="51"/>
      <c r="J14" s="51"/>
      <c r="K14" s="45">
        <f>G12+G13+G14</f>
        <v>348800</v>
      </c>
      <c r="L14" s="45"/>
    </row>
    <row r="15" spans="1:13">
      <c r="A15" s="30">
        <v>45913</v>
      </c>
      <c r="B15" s="42" t="s">
        <v>41</v>
      </c>
      <c r="C15" s="31" t="s">
        <v>38</v>
      </c>
      <c r="D15" s="30" t="s">
        <v>132</v>
      </c>
      <c r="E15" s="31">
        <v>5</v>
      </c>
      <c r="F15" s="32" t="s">
        <v>133</v>
      </c>
      <c r="G15" s="33">
        <f>10000*5</f>
        <v>50000</v>
      </c>
      <c r="H15" s="34"/>
      <c r="I15" s="34"/>
      <c r="J15" s="34"/>
      <c r="K15" s="33">
        <v>0</v>
      </c>
      <c r="L15" s="33">
        <f>G15</f>
        <v>50000</v>
      </c>
    </row>
    <row r="16" spans="1:13">
      <c r="A16" s="30">
        <v>45915</v>
      </c>
      <c r="B16" s="42" t="s">
        <v>41</v>
      </c>
      <c r="C16" s="31" t="s">
        <v>135</v>
      </c>
      <c r="D16" s="30" t="s">
        <v>134</v>
      </c>
      <c r="E16" s="31">
        <v>1</v>
      </c>
      <c r="F16" s="32" t="s">
        <v>136</v>
      </c>
      <c r="G16" s="33">
        <v>12750</v>
      </c>
      <c r="H16" s="34"/>
      <c r="I16" s="34"/>
      <c r="J16" s="34"/>
      <c r="K16" s="33">
        <v>0</v>
      </c>
      <c r="L16" s="33">
        <f>G16</f>
        <v>12750</v>
      </c>
    </row>
    <row r="17" spans="1:54">
      <c r="A17" s="47">
        <v>45916</v>
      </c>
      <c r="B17" s="48" t="s">
        <v>41</v>
      </c>
      <c r="C17" s="48" t="s">
        <v>32</v>
      </c>
      <c r="D17" s="47" t="s">
        <v>119</v>
      </c>
      <c r="E17" s="48">
        <v>2</v>
      </c>
      <c r="F17" s="49" t="s">
        <v>137</v>
      </c>
      <c r="G17" s="50">
        <v>84523</v>
      </c>
      <c r="H17" s="39"/>
      <c r="I17" s="39"/>
      <c r="J17" s="39"/>
      <c r="K17" s="50">
        <f>G17</f>
        <v>84523</v>
      </c>
      <c r="L17" s="50"/>
    </row>
    <row r="18" spans="1:54">
      <c r="A18" s="47">
        <v>45916</v>
      </c>
      <c r="B18" s="48" t="s">
        <v>41</v>
      </c>
      <c r="C18" s="48" t="s">
        <v>32</v>
      </c>
      <c r="D18" s="47" t="s">
        <v>119</v>
      </c>
      <c r="E18" s="48">
        <v>4</v>
      </c>
      <c r="F18" s="49" t="s">
        <v>145</v>
      </c>
      <c r="G18" s="50">
        <v>169046</v>
      </c>
      <c r="H18" s="39"/>
      <c r="I18" s="39"/>
      <c r="J18" s="39"/>
      <c r="K18" s="50"/>
      <c r="L18" s="50">
        <f>G18</f>
        <v>169046</v>
      </c>
    </row>
    <row r="19" spans="1:54">
      <c r="A19" s="47">
        <v>45916</v>
      </c>
      <c r="B19" s="48" t="s">
        <v>41</v>
      </c>
      <c r="C19" s="31" t="s">
        <v>32</v>
      </c>
      <c r="D19" s="30" t="s">
        <v>47</v>
      </c>
      <c r="E19" s="31">
        <v>6</v>
      </c>
      <c r="F19" s="32" t="s">
        <v>138</v>
      </c>
      <c r="G19" s="50">
        <f>25000*6</f>
        <v>150000</v>
      </c>
      <c r="H19" s="39"/>
      <c r="I19" s="39"/>
      <c r="J19" s="39"/>
      <c r="K19" s="50">
        <f>SUM(G19)</f>
        <v>150000</v>
      </c>
      <c r="L19" s="50"/>
    </row>
    <row r="20" spans="1:54">
      <c r="A20" s="30">
        <v>45916</v>
      </c>
      <c r="B20" s="42" t="s">
        <v>41</v>
      </c>
      <c r="C20" s="31" t="s">
        <v>135</v>
      </c>
      <c r="D20" s="30" t="s">
        <v>139</v>
      </c>
      <c r="E20" s="31">
        <v>1</v>
      </c>
      <c r="F20" s="32" t="s">
        <v>140</v>
      </c>
      <c r="G20" s="33">
        <v>1500</v>
      </c>
      <c r="H20" s="34"/>
      <c r="I20" s="34"/>
      <c r="J20" s="34"/>
      <c r="K20" s="33">
        <f>G20</f>
        <v>1500</v>
      </c>
      <c r="L20" s="33"/>
    </row>
    <row r="21" spans="1:54">
      <c r="A21" s="40">
        <v>45917</v>
      </c>
      <c r="B21" s="31" t="s">
        <v>41</v>
      </c>
      <c r="C21" s="42" t="s">
        <v>65</v>
      </c>
      <c r="D21" s="40" t="s">
        <v>141</v>
      </c>
      <c r="E21" s="42">
        <v>600</v>
      </c>
      <c r="F21" s="43" t="s">
        <v>142</v>
      </c>
      <c r="G21" s="33">
        <v>13800</v>
      </c>
      <c r="H21" s="44"/>
      <c r="I21" s="44"/>
      <c r="J21" s="44"/>
      <c r="K21" s="33"/>
      <c r="L21" s="50">
        <v>13800</v>
      </c>
    </row>
    <row r="22" spans="1:54">
      <c r="A22" s="30">
        <v>45918</v>
      </c>
      <c r="B22" s="30" t="s">
        <v>41</v>
      </c>
      <c r="C22" s="31" t="s">
        <v>26</v>
      </c>
      <c r="D22" s="30" t="s">
        <v>42</v>
      </c>
      <c r="E22" s="31">
        <v>1</v>
      </c>
      <c r="F22" s="32" t="s">
        <v>143</v>
      </c>
      <c r="G22" s="33">
        <v>10000</v>
      </c>
      <c r="H22" s="34"/>
      <c r="I22" s="34"/>
      <c r="J22" s="34"/>
      <c r="K22" s="33"/>
      <c r="L22" s="33">
        <f>G22</f>
        <v>10000</v>
      </c>
    </row>
    <row r="23" spans="1:54">
      <c r="A23" s="30">
        <v>45918</v>
      </c>
      <c r="B23" s="46" t="s">
        <v>41</v>
      </c>
      <c r="C23" s="31" t="s">
        <v>38</v>
      </c>
      <c r="D23" s="30" t="s">
        <v>84</v>
      </c>
      <c r="E23" s="31">
        <v>10</v>
      </c>
      <c r="F23" s="32" t="s">
        <v>144</v>
      </c>
      <c r="G23" s="33">
        <f>8000*10</f>
        <v>80000</v>
      </c>
      <c r="H23" s="34"/>
      <c r="I23" s="34"/>
      <c r="J23" s="34"/>
      <c r="K23" s="33">
        <f>G23</f>
        <v>80000</v>
      </c>
      <c r="L23" s="33"/>
    </row>
    <row r="24" spans="1:54">
      <c r="A24" s="35">
        <v>45919</v>
      </c>
      <c r="B24" s="37" t="s">
        <v>41</v>
      </c>
      <c r="C24" s="48" t="s">
        <v>30</v>
      </c>
      <c r="D24" s="47" t="s">
        <v>33</v>
      </c>
      <c r="E24" s="48">
        <v>600</v>
      </c>
      <c r="F24" s="49" t="s">
        <v>34</v>
      </c>
      <c r="G24" s="52">
        <f>62400+31200</f>
        <v>93600</v>
      </c>
      <c r="H24" s="39"/>
      <c r="I24" s="39"/>
      <c r="J24" s="39"/>
      <c r="K24" s="52"/>
      <c r="L24" s="52"/>
    </row>
    <row r="25" spans="1:54" s="149" customFormat="1">
      <c r="A25" s="145">
        <v>45919</v>
      </c>
      <c r="B25" s="48" t="s">
        <v>41</v>
      </c>
      <c r="C25" s="48" t="s">
        <v>31</v>
      </c>
      <c r="D25" s="145" t="s">
        <v>33</v>
      </c>
      <c r="E25" s="48">
        <v>400</v>
      </c>
      <c r="F25" s="146" t="s">
        <v>115</v>
      </c>
      <c r="G25" s="50">
        <v>143200</v>
      </c>
      <c r="H25" s="148"/>
      <c r="I25" s="148"/>
      <c r="J25" s="148"/>
      <c r="K25" s="147"/>
      <c r="L25" s="50">
        <f>G24+G25</f>
        <v>236800</v>
      </c>
    </row>
    <row r="26" spans="1:54">
      <c r="A26" s="47">
        <v>45918</v>
      </c>
      <c r="B26" s="48" t="s">
        <v>41</v>
      </c>
      <c r="C26" s="48" t="s">
        <v>32</v>
      </c>
      <c r="D26" s="47" t="s">
        <v>119</v>
      </c>
      <c r="E26" s="48">
        <v>3</v>
      </c>
      <c r="F26" s="49" t="s">
        <v>146</v>
      </c>
      <c r="G26" s="50">
        <f>42261.5*3</f>
        <v>126784.5</v>
      </c>
      <c r="H26" s="39"/>
      <c r="I26" s="39"/>
      <c r="J26" s="39"/>
      <c r="K26" s="50">
        <f>G26</f>
        <v>126784.5</v>
      </c>
      <c r="L26" s="50">
        <v>0</v>
      </c>
    </row>
    <row r="27" spans="1:54" s="165" customFormat="1">
      <c r="A27" s="161">
        <v>45919</v>
      </c>
      <c r="B27" s="161" t="s">
        <v>41</v>
      </c>
      <c r="C27" s="162" t="s">
        <v>147</v>
      </c>
      <c r="D27" s="161" t="s">
        <v>147</v>
      </c>
      <c r="E27" s="162">
        <v>1</v>
      </c>
      <c r="F27" s="163" t="s">
        <v>148</v>
      </c>
      <c r="G27" s="164">
        <f>8925.94+415.87+2079.59</f>
        <v>11421.400000000001</v>
      </c>
      <c r="H27" s="164"/>
      <c r="I27" s="164"/>
      <c r="J27" s="164"/>
      <c r="K27" s="164">
        <v>0</v>
      </c>
      <c r="L27" s="164"/>
      <c r="M27" s="166">
        <f>G27</f>
        <v>11421.400000000001</v>
      </c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</row>
    <row r="28" spans="1:54">
      <c r="A28" s="30">
        <v>45922</v>
      </c>
      <c r="B28" s="31" t="s">
        <v>41</v>
      </c>
      <c r="C28" s="31" t="s">
        <v>58</v>
      </c>
      <c r="D28" s="31" t="s">
        <v>59</v>
      </c>
      <c r="E28" s="31"/>
      <c r="F28" s="32" t="s">
        <v>150</v>
      </c>
      <c r="G28" s="33">
        <v>16000</v>
      </c>
      <c r="H28" s="33"/>
      <c r="I28" s="33"/>
      <c r="J28" s="33"/>
      <c r="K28" s="33"/>
      <c r="L28" s="33">
        <f>G28</f>
        <v>16000</v>
      </c>
    </row>
    <row r="29" spans="1:54">
      <c r="A29" s="66">
        <v>45922</v>
      </c>
      <c r="B29" s="66" t="s">
        <v>41</v>
      </c>
      <c r="C29" s="67" t="s">
        <v>62</v>
      </c>
      <c r="D29" s="66" t="s">
        <v>105</v>
      </c>
      <c r="E29" s="67"/>
      <c r="F29" s="68" t="s">
        <v>64</v>
      </c>
      <c r="G29" s="34">
        <v>7000</v>
      </c>
      <c r="H29" s="34"/>
      <c r="I29" s="34"/>
      <c r="J29" s="34"/>
      <c r="K29" s="34">
        <v>7000</v>
      </c>
      <c r="L29" s="34"/>
    </row>
    <row r="30" spans="1:54">
      <c r="A30" s="47">
        <v>45924</v>
      </c>
      <c r="B30" s="48" t="s">
        <v>41</v>
      </c>
      <c r="C30" s="31" t="s">
        <v>32</v>
      </c>
      <c r="D30" s="30" t="s">
        <v>47</v>
      </c>
      <c r="E30" s="31">
        <v>4</v>
      </c>
      <c r="F30" s="32" t="s">
        <v>151</v>
      </c>
      <c r="G30" s="50">
        <f>25000*4</f>
        <v>100000</v>
      </c>
      <c r="H30" s="39"/>
      <c r="I30" s="39"/>
      <c r="J30" s="39"/>
      <c r="K30" s="50">
        <f>SUM(G30)</f>
        <v>100000</v>
      </c>
      <c r="L30" s="50"/>
    </row>
    <row r="31" spans="1:54">
      <c r="A31" s="35">
        <v>45926</v>
      </c>
      <c r="B31" s="37" t="s">
        <v>41</v>
      </c>
      <c r="C31" s="48" t="s">
        <v>30</v>
      </c>
      <c r="D31" s="47" t="s">
        <v>33</v>
      </c>
      <c r="E31" s="48">
        <v>1200</v>
      </c>
      <c r="F31" s="49" t="s">
        <v>152</v>
      </c>
      <c r="G31" s="52">
        <f>62400*3</f>
        <v>187200</v>
      </c>
      <c r="H31" s="39"/>
      <c r="I31" s="39"/>
      <c r="J31" s="39"/>
      <c r="K31" s="52"/>
      <c r="L31" s="52"/>
    </row>
    <row r="32" spans="1:54" s="149" customFormat="1">
      <c r="A32" s="145">
        <v>45926</v>
      </c>
      <c r="B32" s="48" t="s">
        <v>41</v>
      </c>
      <c r="C32" s="48" t="s">
        <v>31</v>
      </c>
      <c r="D32" s="145" t="s">
        <v>33</v>
      </c>
      <c r="E32" s="48">
        <v>2000</v>
      </c>
      <c r="F32" s="146" t="s">
        <v>153</v>
      </c>
      <c r="G32" s="50">
        <f>143200*5</f>
        <v>716000</v>
      </c>
      <c r="H32" s="148"/>
      <c r="I32" s="148"/>
      <c r="J32" s="148"/>
      <c r="K32" s="147">
        <f>G31+G32-25000-62400</f>
        <v>815800</v>
      </c>
      <c r="L32" s="50"/>
    </row>
    <row r="33" spans="1:54">
      <c r="A33" s="40">
        <v>45929</v>
      </c>
      <c r="B33" s="31" t="s">
        <v>41</v>
      </c>
      <c r="C33" s="40" t="s">
        <v>106</v>
      </c>
      <c r="D33" s="40" t="s">
        <v>106</v>
      </c>
      <c r="E33" s="42">
        <v>2</v>
      </c>
      <c r="F33" s="43" t="s">
        <v>154</v>
      </c>
      <c r="G33" s="33">
        <f>30000*2</f>
        <v>60000</v>
      </c>
      <c r="H33" s="44"/>
      <c r="I33" s="44"/>
      <c r="J33" s="44"/>
      <c r="K33" s="33">
        <f>G33</f>
        <v>60000</v>
      </c>
      <c r="L33" s="40"/>
    </row>
    <row r="34" spans="1:54" s="165" customFormat="1" ht="15" thickBot="1">
      <c r="A34" s="161">
        <v>45930</v>
      </c>
      <c r="B34" s="161" t="s">
        <v>41</v>
      </c>
      <c r="C34" s="162" t="s">
        <v>147</v>
      </c>
      <c r="D34" s="161" t="s">
        <v>147</v>
      </c>
      <c r="E34" s="162">
        <v>1</v>
      </c>
      <c r="F34" s="163" t="s">
        <v>159</v>
      </c>
      <c r="G34" s="164">
        <f>27287.49+4544.8+9231.36</f>
        <v>41063.65</v>
      </c>
      <c r="H34" s="164"/>
      <c r="I34" s="164"/>
      <c r="J34" s="164"/>
      <c r="K34" s="164">
        <v>0</v>
      </c>
      <c r="L34" s="164"/>
      <c r="M34" s="166">
        <f>G34</f>
        <v>41063.65</v>
      </c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  <c r="BA34" s="167"/>
      <c r="BB34" s="167"/>
    </row>
    <row r="35" spans="1:54">
      <c r="A35" s="103">
        <v>45930</v>
      </c>
      <c r="B35" s="104" t="s">
        <v>41</v>
      </c>
      <c r="C35" s="105" t="s">
        <v>88</v>
      </c>
      <c r="D35" s="104" t="s">
        <v>89</v>
      </c>
      <c r="E35" s="105"/>
      <c r="F35" s="106" t="s">
        <v>156</v>
      </c>
      <c r="G35" s="107">
        <v>1300000</v>
      </c>
      <c r="H35" s="107"/>
      <c r="I35" s="107"/>
      <c r="J35" s="107"/>
      <c r="K35" s="107">
        <v>800000</v>
      </c>
      <c r="L35" s="108">
        <v>500000</v>
      </c>
    </row>
    <row r="36" spans="1:54" ht="15" thickBot="1">
      <c r="A36" s="109">
        <v>45930</v>
      </c>
      <c r="B36" s="110" t="s">
        <v>41</v>
      </c>
      <c r="C36" s="111" t="s">
        <v>88</v>
      </c>
      <c r="D36" s="110" t="s">
        <v>91</v>
      </c>
      <c r="E36" s="111"/>
      <c r="F36" s="112" t="s">
        <v>157</v>
      </c>
      <c r="G36" s="113">
        <v>1300000</v>
      </c>
      <c r="H36" s="113"/>
      <c r="I36" s="113"/>
      <c r="J36" s="113"/>
      <c r="K36" s="113">
        <v>400000</v>
      </c>
      <c r="L36" s="114">
        <v>900000</v>
      </c>
    </row>
    <row r="37" spans="1:54">
      <c r="A37" s="47"/>
      <c r="B37" s="48" t="s">
        <v>41</v>
      </c>
      <c r="C37" s="48"/>
      <c r="D37" s="47"/>
      <c r="E37" s="48"/>
      <c r="F37" s="49"/>
      <c r="G37" s="50"/>
      <c r="H37" s="34"/>
      <c r="I37" s="34"/>
      <c r="J37" s="34"/>
      <c r="K37" s="50"/>
      <c r="L37" s="50"/>
    </row>
    <row r="38" spans="1:54">
      <c r="A38" s="47"/>
      <c r="B38" s="48" t="s">
        <v>41</v>
      </c>
      <c r="C38" s="48"/>
      <c r="D38" s="47"/>
      <c r="E38" s="48"/>
      <c r="F38" s="49"/>
      <c r="G38" s="50"/>
      <c r="H38" s="39"/>
      <c r="I38" s="39"/>
      <c r="J38" s="39"/>
      <c r="K38" s="50"/>
      <c r="L38" s="50"/>
    </row>
    <row r="39" spans="1:54">
      <c r="A39" s="35"/>
      <c r="B39" s="37" t="s">
        <v>41</v>
      </c>
      <c r="C39" s="37"/>
      <c r="D39" s="35"/>
      <c r="E39" s="37"/>
      <c r="F39" s="38"/>
      <c r="G39" s="52"/>
      <c r="H39" s="34"/>
      <c r="I39" s="34"/>
      <c r="J39" s="34"/>
      <c r="K39" s="52"/>
      <c r="L39" s="52"/>
    </row>
    <row r="40" spans="1:54">
      <c r="A40" s="47"/>
      <c r="B40" s="48" t="s">
        <v>41</v>
      </c>
      <c r="C40" s="48"/>
      <c r="D40" s="47"/>
      <c r="E40" s="48"/>
      <c r="F40" s="49"/>
      <c r="G40" s="50"/>
      <c r="H40" s="34"/>
      <c r="I40" s="34"/>
      <c r="J40" s="34"/>
      <c r="K40" s="50"/>
      <c r="L40" s="50"/>
    </row>
    <row r="41" spans="1:54">
      <c r="A41" s="47"/>
      <c r="B41" s="48" t="s">
        <v>41</v>
      </c>
      <c r="C41" s="48"/>
      <c r="D41" s="47"/>
      <c r="E41" s="48"/>
      <c r="F41" s="49"/>
      <c r="G41" s="50"/>
      <c r="H41" s="39"/>
      <c r="I41" s="39"/>
      <c r="J41" s="39"/>
      <c r="K41" s="50"/>
      <c r="L41" s="50"/>
    </row>
    <row r="42" spans="1:54">
      <c r="A42" s="47"/>
      <c r="B42" s="48" t="s">
        <v>41</v>
      </c>
      <c r="C42" s="48"/>
      <c r="D42" s="47"/>
      <c r="E42" s="48"/>
      <c r="F42" s="49"/>
      <c r="G42" s="50"/>
      <c r="H42" s="39"/>
      <c r="I42" s="39"/>
      <c r="J42" s="39"/>
      <c r="K42" s="50"/>
      <c r="L42" s="50"/>
    </row>
    <row r="43" spans="1:54">
      <c r="A43" s="30"/>
      <c r="B43" s="31" t="s">
        <v>41</v>
      </c>
      <c r="C43" s="31"/>
      <c r="D43" s="31"/>
      <c r="E43" s="31"/>
      <c r="F43" s="32"/>
      <c r="G43" s="33"/>
      <c r="H43" s="33"/>
      <c r="I43" s="33"/>
      <c r="J43" s="33"/>
      <c r="K43" s="33"/>
      <c r="L43" s="33"/>
    </row>
    <row r="44" spans="1:54">
      <c r="A44" s="35"/>
      <c r="B44" s="31" t="s">
        <v>41</v>
      </c>
      <c r="C44" s="37"/>
      <c r="D44" s="35"/>
      <c r="E44" s="37"/>
      <c r="F44" s="38"/>
      <c r="G44" s="33"/>
      <c r="H44" s="39"/>
      <c r="I44" s="39"/>
      <c r="J44" s="39"/>
      <c r="K44" s="33"/>
      <c r="L44" s="33"/>
    </row>
    <row r="45" spans="1:54">
      <c r="A45" s="47"/>
      <c r="B45" s="31" t="s">
        <v>41</v>
      </c>
      <c r="C45" s="48"/>
      <c r="D45" s="47"/>
      <c r="E45" s="48"/>
      <c r="F45" s="49"/>
      <c r="G45" s="33"/>
      <c r="H45" s="51"/>
      <c r="I45" s="51"/>
      <c r="J45" s="51"/>
      <c r="K45" s="33"/>
      <c r="L45" s="33"/>
    </row>
    <row r="46" spans="1:54">
      <c r="A46" s="40"/>
      <c r="B46" s="31" t="s">
        <v>41</v>
      </c>
      <c r="C46" s="42"/>
      <c r="D46" s="40"/>
      <c r="E46" s="42"/>
      <c r="F46" s="43"/>
      <c r="G46" s="33"/>
      <c r="H46" s="44"/>
      <c r="I46" s="44"/>
      <c r="J46" s="44"/>
      <c r="K46" s="33"/>
      <c r="L46" s="33"/>
    </row>
    <row r="47" spans="1:54">
      <c r="A47" s="40"/>
      <c r="B47" s="31" t="s">
        <v>41</v>
      </c>
      <c r="C47" s="42"/>
      <c r="D47" s="40"/>
      <c r="E47" s="42"/>
      <c r="F47" s="43"/>
      <c r="G47" s="33"/>
      <c r="H47" s="44"/>
      <c r="I47" s="44"/>
      <c r="J47" s="44"/>
      <c r="K47" s="33"/>
      <c r="L47" s="33"/>
    </row>
    <row r="48" spans="1:54">
      <c r="A48" s="40"/>
      <c r="B48" s="31" t="s">
        <v>41</v>
      </c>
      <c r="C48" s="42"/>
      <c r="D48" s="40"/>
      <c r="E48" s="42"/>
      <c r="F48" s="43"/>
      <c r="G48" s="33"/>
      <c r="H48" s="44"/>
      <c r="I48" s="44"/>
      <c r="J48" s="44"/>
      <c r="K48" s="33"/>
      <c r="L48" s="40"/>
    </row>
    <row r="49" spans="1:12" ht="15" thickBot="1">
      <c r="A49" s="40"/>
      <c r="B49" s="31" t="s">
        <v>41</v>
      </c>
      <c r="C49" s="42"/>
      <c r="D49" s="40"/>
      <c r="E49" s="42"/>
      <c r="F49" s="43"/>
      <c r="G49" s="33"/>
      <c r="H49" s="44"/>
      <c r="I49" s="44"/>
      <c r="J49" s="44"/>
      <c r="K49" s="33"/>
      <c r="L49" s="40"/>
    </row>
    <row r="50" spans="1:12">
      <c r="A50" s="103"/>
      <c r="B50" s="104" t="s">
        <v>41</v>
      </c>
      <c r="C50" s="105"/>
      <c r="D50" s="104"/>
      <c r="E50" s="105"/>
      <c r="F50" s="106"/>
      <c r="G50" s="107"/>
      <c r="H50" s="107"/>
      <c r="I50" s="107"/>
      <c r="J50" s="107"/>
      <c r="K50" s="107"/>
      <c r="L50" s="108"/>
    </row>
    <row r="51" spans="1:12" ht="15" thickBot="1">
      <c r="A51" s="109"/>
      <c r="B51" s="110" t="s">
        <v>41</v>
      </c>
      <c r="C51" s="111"/>
      <c r="D51" s="110"/>
      <c r="E51" s="111"/>
      <c r="F51" s="112"/>
      <c r="G51" s="113"/>
      <c r="H51" s="113"/>
      <c r="I51" s="113"/>
      <c r="J51" s="113"/>
      <c r="K51" s="113"/>
      <c r="L51" s="114"/>
    </row>
    <row r="52" spans="1:12">
      <c r="A52" s="66"/>
      <c r="B52" s="66" t="s">
        <v>41</v>
      </c>
      <c r="C52" s="67"/>
      <c r="D52" s="66"/>
      <c r="E52" s="67"/>
      <c r="F52" s="68"/>
      <c r="G52" s="34"/>
      <c r="H52" s="34"/>
      <c r="I52" s="34"/>
      <c r="J52" s="34"/>
      <c r="K52" s="34"/>
      <c r="L52" s="34"/>
    </row>
    <row r="53" spans="1:12">
      <c r="A53" s="40"/>
      <c r="B53" s="31" t="s">
        <v>41</v>
      </c>
      <c r="C53" s="40"/>
      <c r="D53" s="40"/>
      <c r="E53" s="42"/>
      <c r="F53" s="43"/>
      <c r="G53" s="33"/>
      <c r="H53" s="44"/>
      <c r="I53" s="44"/>
      <c r="J53" s="44"/>
      <c r="K53" s="33"/>
      <c r="L53" s="40"/>
    </row>
    <row r="54" spans="1:12">
      <c r="A54" s="30"/>
      <c r="B54" s="31" t="s">
        <v>41</v>
      </c>
      <c r="C54" s="31"/>
      <c r="D54" s="31"/>
      <c r="E54" s="31"/>
      <c r="F54" s="32"/>
      <c r="G54" s="33"/>
      <c r="H54" s="33"/>
      <c r="I54" s="33"/>
      <c r="J54" s="33"/>
      <c r="K54" s="33"/>
      <c r="L54" s="33"/>
    </row>
    <row r="55" spans="1:12">
      <c r="A55" s="30"/>
      <c r="B55" s="30" t="s">
        <v>41</v>
      </c>
      <c r="C55" s="31"/>
      <c r="D55" s="30"/>
      <c r="E55" s="31"/>
      <c r="F55" s="32"/>
      <c r="G55" s="33"/>
      <c r="H55" s="34"/>
      <c r="I55" s="34"/>
      <c r="J55" s="34"/>
      <c r="K55" s="33"/>
      <c r="L55" s="33"/>
    </row>
    <row r="56" spans="1:12">
      <c r="A56" s="30"/>
      <c r="B56" s="31" t="s">
        <v>41</v>
      </c>
      <c r="C56" s="31"/>
      <c r="D56" s="31"/>
      <c r="E56" s="31"/>
      <c r="F56" s="32"/>
      <c r="G56" s="33"/>
      <c r="H56" s="33"/>
      <c r="I56" s="33"/>
      <c r="J56" s="33"/>
      <c r="K56" s="33"/>
      <c r="L56" s="33"/>
    </row>
    <row r="57" spans="1:12">
      <c r="A57" s="30"/>
      <c r="B57" s="46" t="s">
        <v>41</v>
      </c>
      <c r="C57" s="31"/>
      <c r="D57" s="30"/>
      <c r="E57" s="31"/>
      <c r="F57" s="32"/>
      <c r="G57" s="33"/>
      <c r="H57" s="34"/>
      <c r="I57" s="34"/>
      <c r="J57" s="34"/>
      <c r="K57" s="33"/>
      <c r="L57" s="33"/>
    </row>
    <row r="58" spans="1:12">
      <c r="A58" s="40"/>
      <c r="B58" s="31" t="s">
        <v>41</v>
      </c>
      <c r="C58" s="40"/>
      <c r="D58" s="40"/>
      <c r="E58" s="42"/>
      <c r="F58" s="43"/>
      <c r="G58" s="33"/>
      <c r="H58" s="44"/>
      <c r="I58" s="44"/>
      <c r="J58" s="44"/>
      <c r="K58" s="33"/>
      <c r="L58" s="40"/>
    </row>
    <row r="59" spans="1:12">
      <c r="A59" s="47"/>
      <c r="B59" s="48" t="s">
        <v>41</v>
      </c>
      <c r="C59" s="48"/>
      <c r="D59" s="47"/>
      <c r="E59" s="48"/>
      <c r="F59" s="49"/>
      <c r="G59" s="50"/>
      <c r="H59" s="39"/>
      <c r="I59" s="39"/>
      <c r="J59" s="39"/>
      <c r="K59" s="50"/>
      <c r="L59" s="50"/>
    </row>
    <row r="60" spans="1:12">
      <c r="A60" s="40"/>
      <c r="B60" s="31" t="s">
        <v>41</v>
      </c>
      <c r="C60" s="42"/>
      <c r="D60" s="40"/>
      <c r="E60" s="42"/>
      <c r="F60" s="43"/>
      <c r="G60" s="33"/>
      <c r="H60" s="44"/>
      <c r="I60" s="44"/>
      <c r="J60" s="44"/>
      <c r="K60" s="33"/>
      <c r="L60" s="40"/>
    </row>
    <row r="61" spans="1:12">
      <c r="A61" s="35"/>
      <c r="B61" s="31" t="s">
        <v>41</v>
      </c>
      <c r="C61" s="37"/>
      <c r="D61" s="35"/>
      <c r="E61" s="37"/>
      <c r="F61" s="38"/>
      <c r="G61" s="33"/>
      <c r="H61" s="39"/>
      <c r="I61" s="39"/>
      <c r="J61" s="39"/>
      <c r="K61" s="33"/>
      <c r="L61" s="33"/>
    </row>
    <row r="62" spans="1:12">
      <c r="A62" s="47"/>
      <c r="B62" s="31" t="s">
        <v>41</v>
      </c>
      <c r="C62" s="48"/>
      <c r="D62" s="47"/>
      <c r="E62" s="48"/>
      <c r="F62" s="49"/>
      <c r="G62" s="33"/>
      <c r="H62" s="51"/>
      <c r="I62" s="51"/>
      <c r="J62" s="51"/>
      <c r="K62" s="33"/>
      <c r="L62" s="33"/>
    </row>
    <row r="63" spans="1:12">
      <c r="A63" s="40"/>
      <c r="B63" s="128" t="s">
        <v>41</v>
      </c>
      <c r="C63" s="48"/>
      <c r="D63" s="48"/>
      <c r="E63" s="48"/>
      <c r="F63" s="130"/>
      <c r="G63" s="129"/>
      <c r="H63" s="44"/>
      <c r="I63" s="44"/>
      <c r="J63" s="44"/>
      <c r="K63" s="33"/>
      <c r="L63" s="33"/>
    </row>
    <row r="64" spans="1:12">
      <c r="A64" s="35"/>
      <c r="B64" s="31" t="s">
        <v>41</v>
      </c>
      <c r="C64" s="42"/>
      <c r="D64" s="40"/>
      <c r="E64" s="42"/>
      <c r="F64" s="43"/>
      <c r="G64" s="33"/>
      <c r="H64" s="39"/>
      <c r="I64" s="39"/>
      <c r="J64" s="39"/>
      <c r="K64" s="33"/>
      <c r="L64" s="33"/>
    </row>
    <row r="65" spans="1:12">
      <c r="A65" s="40"/>
      <c r="B65" s="31" t="s">
        <v>41</v>
      </c>
      <c r="C65" s="42"/>
      <c r="D65" s="40"/>
      <c r="E65" s="42"/>
      <c r="F65" s="43"/>
      <c r="G65" s="33"/>
      <c r="H65" s="44"/>
      <c r="I65" s="44"/>
      <c r="J65" s="44"/>
      <c r="K65" s="33"/>
      <c r="L65" s="33"/>
    </row>
    <row r="66" spans="1:12" ht="13.5" customHeight="1">
      <c r="A66" s="35"/>
      <c r="B66" s="31" t="s">
        <v>41</v>
      </c>
      <c r="C66" s="42"/>
      <c r="D66" s="40"/>
      <c r="E66" s="42"/>
      <c r="F66" s="43"/>
      <c r="G66" s="33"/>
      <c r="H66" s="39"/>
      <c r="I66" s="39"/>
      <c r="J66" s="39"/>
      <c r="K66" s="33"/>
      <c r="L66" s="33"/>
    </row>
    <row r="67" spans="1:12" ht="13.5" customHeight="1">
      <c r="A67" s="35"/>
      <c r="B67" s="31" t="s">
        <v>41</v>
      </c>
      <c r="C67" s="42"/>
      <c r="D67" s="40"/>
      <c r="E67" s="42"/>
      <c r="F67" s="43"/>
      <c r="G67" s="33"/>
      <c r="H67" s="39"/>
      <c r="I67" s="39"/>
      <c r="J67" s="39"/>
      <c r="K67" s="33"/>
      <c r="L67" s="33"/>
    </row>
    <row r="68" spans="1:12" ht="13.5" customHeight="1">
      <c r="A68" s="47"/>
      <c r="B68" s="48"/>
      <c r="C68" s="48"/>
      <c r="D68" s="47"/>
      <c r="E68" s="48"/>
      <c r="F68" s="49"/>
      <c r="G68" s="50"/>
      <c r="H68" s="39"/>
      <c r="I68" s="39"/>
      <c r="J68" s="39"/>
      <c r="K68" s="50"/>
      <c r="L68" s="50"/>
    </row>
    <row r="69" spans="1:12">
      <c r="A69" s="47"/>
      <c r="B69" s="48"/>
      <c r="C69" s="48"/>
      <c r="D69" s="47"/>
      <c r="E69" s="48"/>
      <c r="F69" s="49"/>
      <c r="G69" s="50"/>
      <c r="H69" s="39"/>
      <c r="I69" s="39"/>
      <c r="J69" s="39"/>
      <c r="K69" s="50"/>
      <c r="L69" s="50"/>
    </row>
    <row r="70" spans="1:12">
      <c r="A70" s="47"/>
      <c r="B70" s="48"/>
      <c r="C70" s="48"/>
      <c r="D70" s="47"/>
      <c r="E70" s="48"/>
      <c r="F70" s="49"/>
      <c r="G70" s="50"/>
      <c r="H70" s="39"/>
      <c r="I70" s="39"/>
      <c r="J70" s="39"/>
      <c r="K70" s="50"/>
      <c r="L70" s="45"/>
    </row>
    <row r="71" spans="1:12">
      <c r="A71" s="30"/>
      <c r="B71" s="30"/>
      <c r="C71" s="31"/>
      <c r="D71" s="30"/>
      <c r="E71" s="31"/>
      <c r="F71" s="32"/>
      <c r="G71" s="33"/>
      <c r="H71" s="34"/>
      <c r="I71" s="34"/>
      <c r="J71" s="34"/>
      <c r="K71" s="33"/>
      <c r="L71" s="33"/>
    </row>
    <row r="72" spans="1:12">
      <c r="A72" s="35">
        <v>45854</v>
      </c>
      <c r="B72" s="36" t="s">
        <v>29</v>
      </c>
      <c r="C72" s="37" t="s">
        <v>30</v>
      </c>
      <c r="D72" s="35" t="s">
        <v>33</v>
      </c>
      <c r="E72" s="37">
        <v>400</v>
      </c>
      <c r="F72" s="38" t="s">
        <v>34</v>
      </c>
      <c r="G72" s="33">
        <f>156*400</f>
        <v>62400</v>
      </c>
      <c r="H72" s="39"/>
      <c r="I72" s="39"/>
      <c r="J72" s="39"/>
      <c r="K72" s="33"/>
      <c r="L72" s="33"/>
    </row>
    <row r="73" spans="1:12">
      <c r="A73" s="47">
        <v>45854</v>
      </c>
      <c r="B73" s="53" t="s">
        <v>29</v>
      </c>
      <c r="C73" s="48" t="s">
        <v>31</v>
      </c>
      <c r="D73" s="47" t="s">
        <v>33</v>
      </c>
      <c r="E73" s="48">
        <v>300</v>
      </c>
      <c r="F73" s="49" t="s">
        <v>80</v>
      </c>
      <c r="G73" s="33">
        <f>333*300</f>
        <v>99900</v>
      </c>
      <c r="H73" s="51"/>
      <c r="I73" s="51"/>
      <c r="J73" s="51"/>
      <c r="K73" s="33"/>
      <c r="L73" s="33"/>
    </row>
    <row r="74" spans="1:12">
      <c r="A74" s="40">
        <v>45854</v>
      </c>
      <c r="B74" s="41" t="s">
        <v>29</v>
      </c>
      <c r="C74" s="42" t="s">
        <v>32</v>
      </c>
      <c r="D74" s="40" t="s">
        <v>33</v>
      </c>
      <c r="E74" s="42">
        <v>1</v>
      </c>
      <c r="F74" s="43" t="s">
        <v>36</v>
      </c>
      <c r="G74" s="33">
        <v>41032</v>
      </c>
      <c r="H74" s="44"/>
      <c r="I74" s="44"/>
      <c r="J74" s="44"/>
      <c r="K74" s="33">
        <v>0</v>
      </c>
      <c r="L74" s="33"/>
    </row>
    <row r="75" spans="1:12">
      <c r="A75" s="30">
        <v>45853</v>
      </c>
      <c r="B75" s="46" t="s">
        <v>29</v>
      </c>
      <c r="C75" s="31" t="s">
        <v>38</v>
      </c>
      <c r="D75" s="30" t="s">
        <v>39</v>
      </c>
      <c r="E75" s="31">
        <v>3</v>
      </c>
      <c r="F75" s="32" t="s">
        <v>40</v>
      </c>
      <c r="G75" s="33">
        <v>21000</v>
      </c>
      <c r="H75" s="34"/>
      <c r="I75" s="34"/>
      <c r="J75" s="34"/>
      <c r="K75" s="33">
        <v>0</v>
      </c>
      <c r="L75" s="33"/>
    </row>
    <row r="76" spans="1:12">
      <c r="A76" s="30">
        <v>45855</v>
      </c>
      <c r="B76" s="30" t="s">
        <v>41</v>
      </c>
      <c r="C76" s="31" t="s">
        <v>26</v>
      </c>
      <c r="D76" s="30" t="s">
        <v>42</v>
      </c>
      <c r="E76" s="31"/>
      <c r="F76" s="32" t="s">
        <v>43</v>
      </c>
      <c r="G76" s="33">
        <v>20000</v>
      </c>
      <c r="H76" s="34"/>
      <c r="I76" s="34"/>
      <c r="J76" s="34"/>
      <c r="K76" s="33"/>
      <c r="L76" s="33">
        <v>0</v>
      </c>
    </row>
    <row r="77" spans="1:12">
      <c r="A77" s="30">
        <v>45855</v>
      </c>
      <c r="B77" s="30" t="s">
        <v>41</v>
      </c>
      <c r="C77" s="31" t="s">
        <v>46</v>
      </c>
      <c r="D77" s="30" t="s">
        <v>44</v>
      </c>
      <c r="E77" s="31"/>
      <c r="F77" s="32" t="s">
        <v>45</v>
      </c>
      <c r="G77" s="33">
        <v>13700</v>
      </c>
      <c r="H77" s="34"/>
      <c r="I77" s="34"/>
      <c r="J77" s="34"/>
      <c r="K77" s="33"/>
      <c r="L77" s="33">
        <v>0</v>
      </c>
    </row>
    <row r="78" spans="1:12">
      <c r="A78" s="30">
        <v>45856</v>
      </c>
      <c r="B78" s="30" t="s">
        <v>41</v>
      </c>
      <c r="C78" s="31" t="s">
        <v>32</v>
      </c>
      <c r="D78" s="30" t="s">
        <v>47</v>
      </c>
      <c r="E78" s="31">
        <v>1</v>
      </c>
      <c r="F78" s="32" t="s">
        <v>48</v>
      </c>
      <c r="G78" s="33">
        <v>25000</v>
      </c>
      <c r="H78" s="34"/>
      <c r="I78" s="34"/>
      <c r="J78" s="34"/>
      <c r="K78" s="33">
        <v>0</v>
      </c>
      <c r="L78" s="33"/>
    </row>
    <row r="79" spans="1:12">
      <c r="A79" s="30">
        <v>45859</v>
      </c>
      <c r="B79" s="31" t="s">
        <v>41</v>
      </c>
      <c r="C79" s="31" t="s">
        <v>58</v>
      </c>
      <c r="D79" s="31" t="s">
        <v>59</v>
      </c>
      <c r="E79" s="31"/>
      <c r="F79" s="32" t="s">
        <v>76</v>
      </c>
      <c r="G79" s="33">
        <v>16000</v>
      </c>
      <c r="H79" s="33"/>
      <c r="I79" s="33"/>
      <c r="J79" s="33"/>
      <c r="K79" s="33">
        <v>0</v>
      </c>
      <c r="L79" s="33"/>
    </row>
    <row r="80" spans="1:12">
      <c r="A80" s="30">
        <v>45859</v>
      </c>
      <c r="B80" s="31" t="s">
        <v>41</v>
      </c>
      <c r="C80" s="31" t="s">
        <v>46</v>
      </c>
      <c r="D80" s="31" t="s">
        <v>56</v>
      </c>
      <c r="E80" s="31"/>
      <c r="F80" s="32" t="s">
        <v>77</v>
      </c>
      <c r="G80" s="33">
        <v>10143.98</v>
      </c>
      <c r="H80" s="33"/>
      <c r="I80" s="33"/>
      <c r="J80" s="33"/>
      <c r="K80" s="33"/>
      <c r="L80" s="33">
        <v>0</v>
      </c>
    </row>
    <row r="81" spans="1:12">
      <c r="A81" s="35">
        <v>45863</v>
      </c>
      <c r="B81" s="37" t="s">
        <v>41</v>
      </c>
      <c r="C81" s="37" t="s">
        <v>30</v>
      </c>
      <c r="D81" s="35" t="s">
        <v>33</v>
      </c>
      <c r="E81" s="37">
        <v>200</v>
      </c>
      <c r="F81" s="38" t="s">
        <v>78</v>
      </c>
      <c r="G81" s="52">
        <f>156*200</f>
        <v>31200</v>
      </c>
      <c r="H81" s="34"/>
      <c r="I81" s="34"/>
      <c r="J81" s="34"/>
      <c r="K81" s="52"/>
      <c r="L81" s="52"/>
    </row>
    <row r="82" spans="1:12">
      <c r="A82" s="47">
        <v>45863</v>
      </c>
      <c r="B82" s="48" t="s">
        <v>41</v>
      </c>
      <c r="C82" s="48" t="s">
        <v>31</v>
      </c>
      <c r="D82" s="47" t="s">
        <v>33</v>
      </c>
      <c r="E82" s="48">
        <v>400</v>
      </c>
      <c r="F82" s="49" t="s">
        <v>35</v>
      </c>
      <c r="G82" s="50">
        <f>333*400</f>
        <v>133200</v>
      </c>
      <c r="H82" s="34"/>
      <c r="I82" s="34"/>
      <c r="J82" s="34"/>
      <c r="K82" s="50"/>
      <c r="L82" s="50"/>
    </row>
    <row r="83" spans="1:12">
      <c r="A83" s="40">
        <v>45863</v>
      </c>
      <c r="B83" s="42" t="s">
        <v>41</v>
      </c>
      <c r="C83" s="42" t="s">
        <v>32</v>
      </c>
      <c r="D83" s="40" t="s">
        <v>33</v>
      </c>
      <c r="E83" s="42">
        <v>1</v>
      </c>
      <c r="F83" s="43" t="s">
        <v>48</v>
      </c>
      <c r="G83" s="45">
        <v>22500</v>
      </c>
      <c r="H83" s="34"/>
      <c r="I83" s="34"/>
      <c r="J83" s="34"/>
      <c r="K83" s="45">
        <v>0</v>
      </c>
      <c r="L83" s="45"/>
    </row>
    <row r="84" spans="1:12">
      <c r="A84" s="30">
        <v>45860</v>
      </c>
      <c r="B84" s="30" t="s">
        <v>41</v>
      </c>
      <c r="C84" s="31" t="s">
        <v>32</v>
      </c>
      <c r="D84" s="30" t="s">
        <v>47</v>
      </c>
      <c r="E84" s="31">
        <v>2</v>
      </c>
      <c r="F84" s="32" t="s">
        <v>79</v>
      </c>
      <c r="G84" s="33">
        <f>2*25000</f>
        <v>50000</v>
      </c>
      <c r="H84" s="34"/>
      <c r="I84" s="34"/>
      <c r="J84" s="34"/>
      <c r="K84" s="33">
        <v>0</v>
      </c>
      <c r="L84" s="33"/>
    </row>
    <row r="85" spans="1:12">
      <c r="A85" s="93">
        <v>45862</v>
      </c>
      <c r="B85" s="93" t="s">
        <v>41</v>
      </c>
      <c r="C85" s="94" t="s">
        <v>82</v>
      </c>
      <c r="D85" s="93" t="s">
        <v>83</v>
      </c>
      <c r="E85" s="94"/>
      <c r="F85" s="95" t="s">
        <v>81</v>
      </c>
      <c r="G85" s="96">
        <v>100000</v>
      </c>
      <c r="H85" s="96"/>
      <c r="I85" s="96"/>
      <c r="J85" s="96"/>
      <c r="K85" s="96">
        <v>0</v>
      </c>
      <c r="L85" s="96">
        <v>0</v>
      </c>
    </row>
    <row r="86" spans="1:12">
      <c r="A86" s="30">
        <v>45863</v>
      </c>
      <c r="B86" s="46" t="s">
        <v>41</v>
      </c>
      <c r="C86" s="31" t="s">
        <v>38</v>
      </c>
      <c r="D86" s="30" t="s">
        <v>84</v>
      </c>
      <c r="E86" s="31">
        <v>5</v>
      </c>
      <c r="F86" s="32" t="s">
        <v>85</v>
      </c>
      <c r="G86" s="33">
        <f>7000*5</f>
        <v>35000</v>
      </c>
      <c r="H86" s="34"/>
      <c r="I86" s="34"/>
      <c r="J86" s="34"/>
      <c r="K86" s="33">
        <v>0</v>
      </c>
      <c r="L86" s="33"/>
    </row>
    <row r="87" spans="1:12">
      <c r="A87" s="35">
        <v>45863</v>
      </c>
      <c r="B87" s="37" t="s">
        <v>41</v>
      </c>
      <c r="C87" s="37" t="s">
        <v>30</v>
      </c>
      <c r="D87" s="35" t="s">
        <v>33</v>
      </c>
      <c r="E87" s="37">
        <v>200</v>
      </c>
      <c r="F87" s="38" t="s">
        <v>78</v>
      </c>
      <c r="G87" s="52">
        <f>156*200</f>
        <v>31200</v>
      </c>
      <c r="H87" s="34"/>
      <c r="I87" s="34"/>
      <c r="J87" s="34"/>
      <c r="K87" s="52"/>
      <c r="L87" s="52"/>
    </row>
    <row r="88" spans="1:12">
      <c r="A88" s="47">
        <v>45863</v>
      </c>
      <c r="B88" s="48" t="s">
        <v>41</v>
      </c>
      <c r="C88" s="48" t="s">
        <v>31</v>
      </c>
      <c r="D88" s="47" t="s">
        <v>33</v>
      </c>
      <c r="E88" s="48">
        <v>200</v>
      </c>
      <c r="F88" s="49" t="s">
        <v>86</v>
      </c>
      <c r="G88" s="50">
        <f>333*200</f>
        <v>66600</v>
      </c>
      <c r="H88" s="34"/>
      <c r="I88" s="34"/>
      <c r="J88" s="34"/>
      <c r="K88" s="45">
        <v>0</v>
      </c>
      <c r="L88" s="45"/>
    </row>
    <row r="89" spans="1:12">
      <c r="A89" s="35">
        <v>45866</v>
      </c>
      <c r="B89" s="37" t="s">
        <v>41</v>
      </c>
      <c r="C89" s="37" t="s">
        <v>30</v>
      </c>
      <c r="D89" s="35" t="s">
        <v>33</v>
      </c>
      <c r="E89" s="37">
        <v>400</v>
      </c>
      <c r="F89" s="38" t="s">
        <v>34</v>
      </c>
      <c r="G89" s="52">
        <f>156*400</f>
        <v>62400</v>
      </c>
      <c r="H89" s="34"/>
      <c r="I89" s="34"/>
      <c r="J89" s="34"/>
      <c r="K89" s="52"/>
      <c r="L89" s="52"/>
    </row>
    <row r="90" spans="1:12" ht="15" thickBot="1">
      <c r="A90" s="47">
        <v>45866</v>
      </c>
      <c r="B90" s="48" t="s">
        <v>41</v>
      </c>
      <c r="C90" s="48" t="s">
        <v>32</v>
      </c>
      <c r="D90" s="47" t="s">
        <v>33</v>
      </c>
      <c r="E90" s="48">
        <v>1</v>
      </c>
      <c r="F90" s="49" t="s">
        <v>48</v>
      </c>
      <c r="G90" s="50">
        <v>22500</v>
      </c>
      <c r="H90" s="39"/>
      <c r="I90" s="39"/>
      <c r="J90" s="39"/>
      <c r="K90" s="50">
        <v>0</v>
      </c>
      <c r="L90" s="50"/>
    </row>
    <row r="91" spans="1:12">
      <c r="A91" s="103">
        <v>45869</v>
      </c>
      <c r="B91" s="104" t="s">
        <v>41</v>
      </c>
      <c r="C91" s="105" t="s">
        <v>88</v>
      </c>
      <c r="D91" s="104" t="s">
        <v>89</v>
      </c>
      <c r="E91" s="105"/>
      <c r="F91" s="106" t="s">
        <v>90</v>
      </c>
      <c r="G91" s="107">
        <v>0</v>
      </c>
      <c r="H91" s="107"/>
      <c r="I91" s="107"/>
      <c r="J91" s="107"/>
      <c r="K91" s="107">
        <v>0</v>
      </c>
      <c r="L91" s="108">
        <v>0</v>
      </c>
    </row>
    <row r="92" spans="1:12" ht="15" thickBot="1">
      <c r="A92" s="109">
        <v>45869</v>
      </c>
      <c r="B92" s="110" t="s">
        <v>41</v>
      </c>
      <c r="C92" s="111" t="s">
        <v>88</v>
      </c>
      <c r="D92" s="110" t="s">
        <v>91</v>
      </c>
      <c r="E92" s="111"/>
      <c r="F92" s="112" t="s">
        <v>92</v>
      </c>
      <c r="G92" s="113">
        <v>0</v>
      </c>
      <c r="H92" s="113"/>
      <c r="I92" s="113"/>
      <c r="J92" s="113"/>
      <c r="K92" s="113">
        <v>0</v>
      </c>
      <c r="L92" s="114">
        <v>0</v>
      </c>
    </row>
    <row r="93" spans="1:12">
      <c r="A93" s="40"/>
      <c r="B93" s="40"/>
      <c r="C93" s="42"/>
      <c r="D93" s="40"/>
      <c r="E93" s="42"/>
      <c r="F93" s="43"/>
      <c r="G93" s="45"/>
      <c r="H93" s="44"/>
      <c r="I93" s="44"/>
      <c r="J93" s="44"/>
      <c r="K93" s="45"/>
      <c r="L93" s="102"/>
    </row>
    <row r="94" spans="1:12">
      <c r="A94" s="30"/>
      <c r="B94" s="30"/>
      <c r="C94" s="31"/>
      <c r="D94" s="30"/>
      <c r="E94" s="31"/>
      <c r="F94" s="32"/>
      <c r="G94" s="56"/>
      <c r="H94" s="34">
        <f>+(G94-J94)-(G94-J94)/1.21</f>
        <v>0</v>
      </c>
      <c r="I94" s="34"/>
      <c r="J94" s="34"/>
      <c r="K94" s="31"/>
      <c r="L94" s="26"/>
    </row>
    <row r="95" spans="1:12" ht="15" thickBot="1">
      <c r="A95" s="79" t="s">
        <v>27</v>
      </c>
      <c r="B95" s="79"/>
      <c r="C95" s="79"/>
      <c r="D95" s="79"/>
      <c r="E95" s="79"/>
      <c r="F95" s="79"/>
      <c r="G95" s="54"/>
      <c r="H95" s="55"/>
      <c r="I95" s="55"/>
      <c r="J95" s="55"/>
      <c r="K95" s="54"/>
    </row>
    <row r="96" spans="1:12">
      <c r="A96" s="30"/>
      <c r="B96" s="30"/>
      <c r="C96" s="31"/>
      <c r="D96" s="30"/>
      <c r="E96" s="31"/>
      <c r="F96" s="32"/>
      <c r="G96" s="33"/>
      <c r="H96" s="34"/>
      <c r="I96" s="34"/>
      <c r="J96" s="34"/>
      <c r="K96" s="56"/>
    </row>
    <row r="97" spans="2:12" ht="15" thickBot="1"/>
    <row r="98" spans="2:12" ht="15" thickBot="1">
      <c r="F98" s="58"/>
      <c r="G98" s="59"/>
      <c r="H98" s="60"/>
      <c r="I98" s="60"/>
      <c r="J98" s="60"/>
      <c r="K98" s="61"/>
      <c r="L98" s="61"/>
    </row>
    <row r="99" spans="2:12" ht="15" thickBot="1">
      <c r="B99" s="62"/>
      <c r="F99" s="63" t="s">
        <v>28</v>
      </c>
      <c r="G99" s="64">
        <f>SUM(G71:G98)</f>
        <v>863775.98</v>
      </c>
      <c r="H99" s="65">
        <f>SUM(H71:H98)</f>
        <v>0</v>
      </c>
      <c r="I99" s="65">
        <f>SUM(I71:I98)</f>
        <v>0</v>
      </c>
      <c r="J99" s="65">
        <f>SUM(J71:J97)</f>
        <v>0</v>
      </c>
      <c r="K99" s="64">
        <f>SUM(K72:K98)</f>
        <v>0</v>
      </c>
      <c r="L99" s="64">
        <f>SUM(L37:L97)</f>
        <v>0</v>
      </c>
    </row>
    <row r="102" spans="2:12">
      <c r="H102" s="57">
        <f>+H99/0.105</f>
        <v>0</v>
      </c>
      <c r="I102" s="57">
        <f>+I99/0.105</f>
        <v>0</v>
      </c>
    </row>
  </sheetData>
  <mergeCells count="1">
    <mergeCell ref="K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1C92-D099-4CB0-A7D8-BA3DA57C3249}">
  <dimension ref="A1:L44"/>
  <sheetViews>
    <sheetView workbookViewId="0">
      <selection activeCell="J27" sqref="J27"/>
    </sheetView>
  </sheetViews>
  <sheetFormatPr baseColWidth="10" defaultRowHeight="14.25"/>
  <cols>
    <col min="1" max="1" width="13.5" customWidth="1"/>
    <col min="2" max="2" width="13.75" customWidth="1"/>
    <col min="3" max="3" width="12.375" customWidth="1"/>
    <col min="4" max="4" width="8.375" customWidth="1"/>
    <col min="5" max="5" width="18.125" customWidth="1"/>
    <col min="6" max="6" width="17.375" customWidth="1"/>
    <col min="7" max="7" width="15.625" customWidth="1"/>
    <col min="8" max="8" width="16.75" customWidth="1"/>
    <col min="9" max="9" width="6" customWidth="1"/>
    <col min="10" max="10" width="16.75" customWidth="1"/>
    <col min="11" max="11" width="17.875" customWidth="1"/>
    <col min="12" max="12" width="24.125" customWidth="1"/>
  </cols>
  <sheetData>
    <row r="1" spans="1:11" ht="20.25">
      <c r="A1" s="233" t="s">
        <v>9</v>
      </c>
      <c r="B1" s="233"/>
      <c r="C1" s="233"/>
      <c r="D1" s="233"/>
      <c r="E1" s="233"/>
      <c r="F1" s="233"/>
      <c r="G1" s="134"/>
    </row>
    <row r="2" spans="1:11" ht="21" thickBot="1">
      <c r="A2" s="132"/>
      <c r="B2" s="232" t="s">
        <v>0</v>
      </c>
      <c r="C2" s="232"/>
      <c r="D2" s="132"/>
      <c r="E2" s="236" t="s">
        <v>7</v>
      </c>
      <c r="F2" s="237"/>
      <c r="G2" s="238"/>
      <c r="H2" s="132" t="s">
        <v>3</v>
      </c>
      <c r="I2" s="15"/>
      <c r="J2" s="234" t="s">
        <v>149</v>
      </c>
      <c r="K2" s="234"/>
    </row>
    <row r="3" spans="1:11" ht="16.5" thickBot="1">
      <c r="A3" s="16" t="s">
        <v>8</v>
      </c>
      <c r="B3" s="16" t="s">
        <v>1</v>
      </c>
      <c r="C3" s="16" t="s">
        <v>2</v>
      </c>
      <c r="D3" s="16" t="s">
        <v>5</v>
      </c>
      <c r="E3" s="16" t="s">
        <v>4</v>
      </c>
      <c r="F3" s="137" t="s">
        <v>6</v>
      </c>
      <c r="G3" s="139" t="s">
        <v>123</v>
      </c>
      <c r="H3" s="138" t="s">
        <v>13</v>
      </c>
      <c r="I3" s="24"/>
    </row>
    <row r="4" spans="1:11" ht="21" customHeight="1" thickBot="1">
      <c r="A4" s="14">
        <v>45901</v>
      </c>
      <c r="B4" s="8">
        <f>2+4+6+2</f>
        <v>14</v>
      </c>
      <c r="C4" s="8">
        <f>4+2+2</f>
        <v>8</v>
      </c>
      <c r="D4" s="8"/>
      <c r="E4" s="69">
        <f>1800+4200</f>
        <v>6000</v>
      </c>
      <c r="F4" s="17">
        <f>8400+7800</f>
        <v>16200</v>
      </c>
      <c r="G4" s="135"/>
      <c r="H4" s="20">
        <f>E4+F4</f>
        <v>22200</v>
      </c>
      <c r="I4" s="28"/>
      <c r="J4" s="11" t="s">
        <v>10</v>
      </c>
      <c r="K4" s="12">
        <f>SUMIF(F4:F31,"&gt;0")</f>
        <v>1878100</v>
      </c>
    </row>
    <row r="5" spans="1:11" ht="21" customHeight="1" thickBot="1">
      <c r="A5" s="14">
        <v>45902</v>
      </c>
      <c r="B5" s="8">
        <f>2+12+6</f>
        <v>20</v>
      </c>
      <c r="C5" s="8">
        <f>6+6</f>
        <v>12</v>
      </c>
      <c r="D5" s="8"/>
      <c r="E5" s="69">
        <f>2700+10800+7200</f>
        <v>20700</v>
      </c>
      <c r="F5" s="18">
        <f>12600</f>
        <v>12600</v>
      </c>
      <c r="G5" s="135"/>
      <c r="H5" s="20">
        <f t="shared" ref="H5:H9" si="0">E5+F5</f>
        <v>33300</v>
      </c>
      <c r="I5" s="28"/>
      <c r="J5" s="11" t="s">
        <v>11</v>
      </c>
      <c r="K5" s="13">
        <f>SUMIF(E4:E31,"&gt;0")</f>
        <v>3134830</v>
      </c>
    </row>
    <row r="6" spans="1:11" ht="21" customHeight="1" thickBot="1">
      <c r="A6" s="14">
        <v>45903</v>
      </c>
      <c r="B6" s="8">
        <f>6+6+4+6+2+4+6</f>
        <v>34</v>
      </c>
      <c r="C6" s="8">
        <f>2+3+4+4</f>
        <v>13</v>
      </c>
      <c r="D6" s="8">
        <v>4</v>
      </c>
      <c r="E6" s="69">
        <f>5400+5400+3600+2000+6800</f>
        <v>23200</v>
      </c>
      <c r="F6" s="18">
        <f>7800+5400+8400+5400</f>
        <v>27000</v>
      </c>
      <c r="G6" s="135"/>
      <c r="H6" s="20">
        <f t="shared" si="0"/>
        <v>50200</v>
      </c>
      <c r="I6" s="28"/>
      <c r="J6" s="11" t="s">
        <v>124</v>
      </c>
      <c r="K6" s="136">
        <f>SUMIF(G4:G34,"&gt;0")</f>
        <v>364950</v>
      </c>
    </row>
    <row r="7" spans="1:11" ht="21" customHeight="1" thickBot="1">
      <c r="A7" s="14">
        <v>45904</v>
      </c>
      <c r="B7" s="8">
        <f>2+2+5</f>
        <v>9</v>
      </c>
      <c r="C7" s="8">
        <f>4+4+2+5+8</f>
        <v>23</v>
      </c>
      <c r="D7" s="8">
        <v>1</v>
      </c>
      <c r="E7" s="69">
        <f>6600+4800+5200+10500+9600</f>
        <v>36700</v>
      </c>
      <c r="F7" s="19"/>
      <c r="G7" s="135"/>
      <c r="H7" s="20">
        <f t="shared" si="0"/>
        <v>36700</v>
      </c>
      <c r="I7" s="28"/>
      <c r="J7" s="179" t="s">
        <v>3</v>
      </c>
      <c r="K7" s="131">
        <f>K4+K5+K6</f>
        <v>5377880</v>
      </c>
    </row>
    <row r="8" spans="1:11" ht="21" customHeight="1" thickBot="1">
      <c r="A8" s="14">
        <v>45905</v>
      </c>
      <c r="B8" s="8">
        <f>10+6+4+6+6+8+6+6+2+1+12</f>
        <v>67</v>
      </c>
      <c r="C8" s="8">
        <f>12+2+3+8+2+6+2+10+6+5+9+2</f>
        <v>67</v>
      </c>
      <c r="D8" s="8">
        <v>3</v>
      </c>
      <c r="E8" s="69">
        <f>11400+3600+5400+15200+12600+5400+5400+1000+10800+4200</f>
        <v>75000</v>
      </c>
      <c r="F8" s="19">
        <f>14400+7800+9600+12000+900+18000</f>
        <v>62700</v>
      </c>
      <c r="G8" s="136">
        <f>10030+6800</f>
        <v>16830</v>
      </c>
      <c r="H8" s="20">
        <f t="shared" si="0"/>
        <v>137700</v>
      </c>
    </row>
    <row r="9" spans="1:11" ht="21" customHeight="1" thickBot="1">
      <c r="A9" s="14">
        <v>45906</v>
      </c>
      <c r="B9" s="8">
        <f>6+2+12+4+1+1+6+6+10+4+12+2+1</f>
        <v>67</v>
      </c>
      <c r="C9" s="8">
        <f>6+6+4+4+3+6+4+4+6+4+12+2+1</f>
        <v>62</v>
      </c>
      <c r="D9" s="8">
        <f>2+2</f>
        <v>4</v>
      </c>
      <c r="E9" s="69">
        <f>6600+8400+4500+5400+4800+14600+9000+8400+10800+2100</f>
        <v>74600</v>
      </c>
      <c r="F9" s="100">
        <f>7200+10800+7200+5700+14400+4200</f>
        <v>49500</v>
      </c>
      <c r="G9" s="136">
        <f>16740</f>
        <v>16740</v>
      </c>
      <c r="H9" s="20">
        <f t="shared" si="0"/>
        <v>124100</v>
      </c>
      <c r="J9" s="234" t="s">
        <v>14</v>
      </c>
      <c r="K9" s="234"/>
    </row>
    <row r="10" spans="1:11" ht="21" customHeight="1" thickBot="1">
      <c r="A10" s="14">
        <v>45907</v>
      </c>
      <c r="B10" s="8">
        <f>3+4+3+8+4+3+18+3+6+3+6+12+3+4+12+12+6+6+6+4</f>
        <v>126</v>
      </c>
      <c r="C10" s="8">
        <f>3+5+3+2+6+6+6+6+8+6+6+6+6+12+12+6+5+4+4+6+4+6+8+6</f>
        <v>142</v>
      </c>
      <c r="D10" s="8">
        <f>3+1</f>
        <v>4</v>
      </c>
      <c r="E10" s="69">
        <f>7200+16200+7200+12600+12300+14580+10800+9900+7200+3000+14400+3600+5940+7200+5200+4800+4800+1000+4800+13200</f>
        <v>165920</v>
      </c>
      <c r="F10" s="100">
        <f>6300+6300+6000+9900+9900+7200+10800+25200+6000+12600+7200</f>
        <v>107400</v>
      </c>
      <c r="G10" s="136">
        <f>11160+8640</f>
        <v>19800</v>
      </c>
      <c r="H10" s="20">
        <f>E10+F10+G10</f>
        <v>293120</v>
      </c>
      <c r="J10" s="27" t="s">
        <v>1</v>
      </c>
      <c r="K10" s="27" t="s">
        <v>2</v>
      </c>
    </row>
    <row r="11" spans="1:11" ht="21" customHeight="1" thickBot="1">
      <c r="A11" s="14">
        <v>45908</v>
      </c>
      <c r="B11" s="8">
        <f>8+6+12+1+1+2</f>
        <v>30</v>
      </c>
      <c r="C11" s="8">
        <f>6+12+3+1+6+2</f>
        <v>30</v>
      </c>
      <c r="D11" s="8"/>
      <c r="E11" s="69">
        <f>7200+7200+10000+3600+8000+4200</f>
        <v>40200</v>
      </c>
      <c r="F11" s="100">
        <f>19800+800+2100</f>
        <v>22700</v>
      </c>
      <c r="G11" s="136"/>
      <c r="H11" s="20">
        <f t="shared" ref="H11:H34" si="1">E11+F11+G11</f>
        <v>62900</v>
      </c>
      <c r="J11" s="29">
        <f>SUM(B4:B33)</f>
        <v>2438</v>
      </c>
      <c r="K11" s="29">
        <f>SUM(C4:C33)</f>
        <v>2579</v>
      </c>
    </row>
    <row r="12" spans="1:11" ht="21" customHeight="1" thickBot="1">
      <c r="A12" s="14">
        <v>45909</v>
      </c>
      <c r="B12" s="8">
        <f>12+2+6+2+2</f>
        <v>24</v>
      </c>
      <c r="C12" s="8">
        <f>6+6+3+2</f>
        <v>17</v>
      </c>
      <c r="D12" s="8">
        <v>1</v>
      </c>
      <c r="E12" s="69">
        <f>1000+7200+5400+5400+4200+1800</f>
        <v>25000</v>
      </c>
      <c r="F12" s="100">
        <v>7200</v>
      </c>
      <c r="G12" s="136">
        <v>11880</v>
      </c>
      <c r="H12" s="20">
        <f t="shared" si="1"/>
        <v>44080</v>
      </c>
    </row>
    <row r="13" spans="1:11" ht="21" customHeight="1" thickBot="1">
      <c r="A13" s="14">
        <v>45910</v>
      </c>
      <c r="B13" s="8">
        <f>6+6+4+6+4+9+4+3+12</f>
        <v>54</v>
      </c>
      <c r="C13" s="8">
        <f>2+2+4+4+3</f>
        <v>15</v>
      </c>
      <c r="D13" s="8"/>
      <c r="E13" s="69">
        <f>2400+5400+8100+3600+7300</f>
        <v>26800</v>
      </c>
      <c r="F13" s="100">
        <f>7800+8400+3600+10800</f>
        <v>30600</v>
      </c>
      <c r="G13" s="136">
        <f>11700</f>
        <v>11700</v>
      </c>
      <c r="H13" s="20">
        <f t="shared" si="1"/>
        <v>69100</v>
      </c>
    </row>
    <row r="14" spans="1:11" ht="21" customHeight="1" thickBot="1">
      <c r="A14" s="14">
        <v>45911</v>
      </c>
      <c r="B14" s="8">
        <f>6+4+12+4+4+6+4+4+1+6</f>
        <v>51</v>
      </c>
      <c r="C14" s="8">
        <f>6+12+4+2+2+1+6</f>
        <v>33</v>
      </c>
      <c r="D14" s="8">
        <v>1</v>
      </c>
      <c r="E14" s="69">
        <f>1000+10800+8400+3600+2400+3600+2100+7200</f>
        <v>39100</v>
      </c>
      <c r="F14" s="100">
        <f>5400+5400+6000+5400</f>
        <v>22200</v>
      </c>
      <c r="G14" s="136">
        <f>29160</f>
        <v>29160</v>
      </c>
      <c r="H14" s="20">
        <f t="shared" si="1"/>
        <v>90460</v>
      </c>
      <c r="J14" s="97"/>
    </row>
    <row r="15" spans="1:11" ht="21" customHeight="1" thickBot="1">
      <c r="A15" s="14">
        <v>45912</v>
      </c>
      <c r="B15" s="8">
        <f>4+10+6+4+5+3+2</f>
        <v>34</v>
      </c>
      <c r="C15" s="8">
        <f>6+4+5+3+6+1</f>
        <v>25</v>
      </c>
      <c r="D15" s="8">
        <f>2+4</f>
        <v>6</v>
      </c>
      <c r="E15" s="69">
        <f>14600+8400+6300+11200</f>
        <v>40500</v>
      </c>
      <c r="F15" s="19">
        <f>3600+9000+10500+3000</f>
        <v>26100</v>
      </c>
      <c r="G15" s="136"/>
      <c r="H15" s="20">
        <f t="shared" si="1"/>
        <v>66600</v>
      </c>
    </row>
    <row r="16" spans="1:11" ht="21" customHeight="1" thickBot="1">
      <c r="A16" s="14">
        <v>45913</v>
      </c>
      <c r="B16" s="8">
        <f>12+3+6+2+12+1+4+6+3+6+6+1+8+3</f>
        <v>73</v>
      </c>
      <c r="C16" s="8">
        <f>3+4+6+1+8+6+4+5+3+12+6+3+12+8+3</f>
        <v>84</v>
      </c>
      <c r="D16" s="8">
        <f>1+2</f>
        <v>3</v>
      </c>
      <c r="E16" s="69">
        <f>10800+6400+6600+2000+12500+4800+6000+6300+19800+5400+4500+7200+6300</f>
        <v>98600</v>
      </c>
      <c r="F16" s="19">
        <f>18000+2100+13200+14400+9600</f>
        <v>57300</v>
      </c>
      <c r="G16" s="136">
        <f>7290+8640</f>
        <v>15930</v>
      </c>
      <c r="H16" s="20">
        <f t="shared" si="1"/>
        <v>171830</v>
      </c>
    </row>
    <row r="17" spans="1:12" ht="21" customHeight="1" thickBot="1">
      <c r="A17" s="14">
        <v>45914</v>
      </c>
      <c r="B17" s="8">
        <f>6+4+6+2+4+6+2+6+3+4+3+8+6+4+8+4+6+6+24+12+6+2+2+18+6+6+6+3+6+4+12+4</f>
        <v>199</v>
      </c>
      <c r="C17" s="8">
        <f>4+4+7+3+2+12+4+2+5+12+12+8+12+4+8+6+6+6+6+4+2+4+12+3+6+12+4</f>
        <v>170</v>
      </c>
      <c r="D17" s="8">
        <v>5</v>
      </c>
      <c r="E17" s="69">
        <f>5400+5400+10200+4400+6000+14400+17100+3600+12000+13200+7200+12600+23760+7200+7400+4200+5400+5400+14580+3600+23220+2620</f>
        <v>208880</v>
      </c>
      <c r="F17" s="19">
        <f>8400+4800+7200+6600+7800+13200+2700+8200+10800+6600+4800+16200+19800+6300</f>
        <v>123400</v>
      </c>
      <c r="G17" s="136">
        <f>23220+23220+14580+10800</f>
        <v>71820</v>
      </c>
      <c r="H17" s="20">
        <f t="shared" si="1"/>
        <v>404100</v>
      </c>
      <c r="L17" s="131"/>
    </row>
    <row r="18" spans="1:12" ht="21" customHeight="1" thickBot="1">
      <c r="A18" s="14">
        <v>45915</v>
      </c>
      <c r="B18" s="8">
        <f>12+5+2</f>
        <v>19</v>
      </c>
      <c r="C18" s="8">
        <f>2+4+1</f>
        <v>7</v>
      </c>
      <c r="D18" s="8">
        <v>1</v>
      </c>
      <c r="E18" s="69">
        <f>10800+4500+8820+1200</f>
        <v>25320</v>
      </c>
      <c r="F18" s="19">
        <f>2400</f>
        <v>2400</v>
      </c>
      <c r="G18" s="136"/>
      <c r="H18" s="20">
        <f t="shared" si="1"/>
        <v>27720</v>
      </c>
    </row>
    <row r="19" spans="1:12" ht="21" customHeight="1" thickBot="1">
      <c r="A19" s="14">
        <v>45916</v>
      </c>
      <c r="B19" s="8">
        <f>1+6+12+2+6</f>
        <v>27</v>
      </c>
      <c r="C19" s="8">
        <f>2+12+2+4+1</f>
        <v>21</v>
      </c>
      <c r="D19" s="8">
        <v>2</v>
      </c>
      <c r="E19" s="69">
        <f>2000+3300+2400+5400+10800+3900</f>
        <v>27800</v>
      </c>
      <c r="F19" s="19">
        <f>14400+6600</f>
        <v>21000</v>
      </c>
      <c r="G19" s="136"/>
      <c r="H19" s="20">
        <f t="shared" si="1"/>
        <v>48800</v>
      </c>
    </row>
    <row r="20" spans="1:12" ht="21" customHeight="1" thickBot="1">
      <c r="A20" s="14">
        <v>45917</v>
      </c>
      <c r="B20" s="8">
        <f>6+4+6+5</f>
        <v>21</v>
      </c>
      <c r="C20" s="8">
        <f>6+4+8+6+5</f>
        <v>29</v>
      </c>
      <c r="D20" s="8"/>
      <c r="E20" s="69">
        <f>12600+4800+13200</f>
        <v>30600</v>
      </c>
      <c r="F20" s="19">
        <v>10500</v>
      </c>
      <c r="G20" s="136">
        <v>14580</v>
      </c>
      <c r="H20" s="20">
        <f t="shared" si="1"/>
        <v>55680</v>
      </c>
    </row>
    <row r="21" spans="1:12" ht="21" customHeight="1" thickBot="1">
      <c r="A21" s="14">
        <v>45918</v>
      </c>
      <c r="B21" s="8">
        <f>3+4+2+6</f>
        <v>15</v>
      </c>
      <c r="C21" s="8">
        <f>6+2+2</f>
        <v>10</v>
      </c>
      <c r="D21" s="8"/>
      <c r="E21" s="69">
        <f>7200+3600+4200+5400</f>
        <v>20400</v>
      </c>
      <c r="F21" s="19">
        <f>5100</f>
        <v>5100</v>
      </c>
      <c r="G21" s="136"/>
      <c r="H21" s="20">
        <f t="shared" si="1"/>
        <v>25500</v>
      </c>
    </row>
    <row r="22" spans="1:12" ht="21" customHeight="1" thickBot="1">
      <c r="A22" s="14">
        <v>45919</v>
      </c>
      <c r="B22" s="8">
        <f>3+3+4+12+5+2+3+12</f>
        <v>44</v>
      </c>
      <c r="C22" s="8">
        <f>6+2+1+4+10+5</f>
        <v>28</v>
      </c>
      <c r="D22" s="8">
        <v>2</v>
      </c>
      <c r="E22" s="69">
        <f>2700+9900+6000+10800+5700+8600+12000+8700</f>
        <v>64400</v>
      </c>
      <c r="F22" s="19">
        <f>0</f>
        <v>0</v>
      </c>
      <c r="G22" s="136">
        <f>11880</f>
        <v>11880</v>
      </c>
      <c r="H22" s="20">
        <f t="shared" si="1"/>
        <v>76280</v>
      </c>
    </row>
    <row r="23" spans="1:12" ht="21" customHeight="1" thickBot="1">
      <c r="A23" s="14">
        <v>45920</v>
      </c>
      <c r="B23" s="8">
        <f>9+12+8+12</f>
        <v>41</v>
      </c>
      <c r="C23" s="8">
        <f>9+6+4+6+18</f>
        <v>43</v>
      </c>
      <c r="D23" s="8">
        <v>1</v>
      </c>
      <c r="E23" s="69">
        <f>11000+8200+12000+7200</f>
        <v>38400</v>
      </c>
      <c r="F23" s="19">
        <f>10800</f>
        <v>10800</v>
      </c>
      <c r="G23" s="136">
        <f>21870+25920</f>
        <v>47790</v>
      </c>
      <c r="H23" s="20">
        <f t="shared" si="1"/>
        <v>96990</v>
      </c>
    </row>
    <row r="24" spans="1:12" ht="21" customHeight="1" thickBot="1">
      <c r="A24" s="14">
        <v>45921</v>
      </c>
      <c r="B24" s="8">
        <f>4+10+6+2+4+6+1+9+7+12+1+6+6+8</f>
        <v>82</v>
      </c>
      <c r="C24" s="8">
        <f>8+8+4+2+6+6+3+6+6+7+5+6+6+3+6+6</f>
        <v>88</v>
      </c>
      <c r="D24" s="8"/>
      <c r="E24" s="69">
        <f>2400+12500+4500+15300+6900+11000+12600+3600+7200+7200</f>
        <v>83200</v>
      </c>
      <c r="F24" s="19">
        <f>18600+7200+6900+7200</f>
        <v>39900</v>
      </c>
      <c r="G24" s="136">
        <f>15480+5940+7740+12600+8640+8640+14580</f>
        <v>73620</v>
      </c>
      <c r="H24" s="20">
        <f t="shared" si="1"/>
        <v>196720</v>
      </c>
    </row>
    <row r="25" spans="1:12" ht="21" customHeight="1" thickBot="1">
      <c r="A25" s="14">
        <v>45922</v>
      </c>
      <c r="B25" s="8">
        <v>3</v>
      </c>
      <c r="C25" s="8">
        <v>6</v>
      </c>
      <c r="D25" s="8"/>
      <c r="E25" s="69">
        <v>2700</v>
      </c>
      <c r="F25" s="19"/>
      <c r="G25" s="136">
        <v>8640</v>
      </c>
      <c r="H25" s="20">
        <f t="shared" si="1"/>
        <v>11340</v>
      </c>
    </row>
    <row r="26" spans="1:12" ht="21" customHeight="1" thickBot="1">
      <c r="A26" s="14">
        <v>45923</v>
      </c>
      <c r="B26" s="8">
        <f>3+2+6+2+6+3</f>
        <v>22</v>
      </c>
      <c r="C26" s="8">
        <f>3+6+2+2+6+3</f>
        <v>22</v>
      </c>
      <c r="D26" s="8">
        <f>2+1+1+2</f>
        <v>6</v>
      </c>
      <c r="E26" s="69">
        <f>9000+3400+14600+6300</f>
        <v>33300</v>
      </c>
      <c r="F26" s="19">
        <f>6300+7400+5200</f>
        <v>18900</v>
      </c>
      <c r="G26" s="136"/>
      <c r="H26" s="20">
        <f t="shared" si="1"/>
        <v>52200</v>
      </c>
    </row>
    <row r="27" spans="1:12" ht="21" customHeight="1" thickBot="1">
      <c r="A27" s="14">
        <v>45924</v>
      </c>
      <c r="B27" s="8">
        <f>12+12+6+4+3</f>
        <v>37</v>
      </c>
      <c r="C27" s="8">
        <f>4+2+3+4+3</f>
        <v>16</v>
      </c>
      <c r="D27" s="8"/>
      <c r="E27" s="69">
        <f>10800+4800+10800+7800+3600</f>
        <v>37800</v>
      </c>
      <c r="F27" s="19">
        <f>3600+4800+6300</f>
        <v>14700</v>
      </c>
      <c r="G27" s="136"/>
      <c r="H27" s="20">
        <f t="shared" si="1"/>
        <v>52500</v>
      </c>
    </row>
    <row r="28" spans="1:12" ht="21" customHeight="1" thickBot="1">
      <c r="A28" s="14">
        <v>45925</v>
      </c>
      <c r="B28" s="8">
        <f>4+6+2+3+12+6+3+4+3+4+2</f>
        <v>49</v>
      </c>
      <c r="C28" s="8">
        <f>6+1+2+4+3+6+1+6+12+4+6+4</f>
        <v>55</v>
      </c>
      <c r="D28" s="8"/>
      <c r="E28" s="69">
        <f>1200+6000+5400+6300+10800+12600+3900+14400+8400+7200+2700+6600+3000</f>
        <v>88500</v>
      </c>
      <c r="F28" s="19">
        <f>7200+6600+7200+3600</f>
        <v>24600</v>
      </c>
      <c r="G28" s="136"/>
      <c r="H28" s="20">
        <f t="shared" si="1"/>
        <v>113100</v>
      </c>
    </row>
    <row r="29" spans="1:12" ht="21" customHeight="1" thickBot="1">
      <c r="A29" s="14">
        <v>45926</v>
      </c>
      <c r="B29" s="8"/>
      <c r="C29" s="8"/>
      <c r="D29" s="8"/>
      <c r="E29" s="69"/>
      <c r="F29" s="19"/>
      <c r="G29" s="136"/>
      <c r="H29" s="20">
        <f t="shared" si="1"/>
        <v>0</v>
      </c>
    </row>
    <row r="30" spans="1:12" ht="21" customHeight="1" thickBot="1">
      <c r="A30" s="14">
        <v>45927</v>
      </c>
      <c r="B30" s="8">
        <f>2+4+12+1+3+6+3+3+4+1+5+2+6+8+12+5+3+3+4+1+6+6+6+2+3+2+6+2+2+3+2+6+6+2+4+9+5+4+3+2+2+4+3+4+8+6+5+8+6+2+1+5+12+2+3+6+2+6+2+2+2+1+6+24+2+3+2+2+2+2+3+12+3+3+2+6+3+8+12+6+12+2+12+4+2+2+3+2+2+1+1+4+2+4+6+3+1+3+4+3+6+3+4+3+6+6+1+4+6+3+3+3+6+7+3+2+3+2+4+3+2+8+4+10+6+2+2+2</f>
        <v>549</v>
      </c>
      <c r="C30" s="8">
        <f>3+6+2+3+4+3+1+8+2+5+1+2+4+5+6+8+2+2+3+2+6+6+4+3+2+6+1+1+3+4+3+3+6+6+8+9+4+4+3+4+3+3+4+1+16+2+4+4+2+12+2+3+3+6+4+2+2+4+4+4+2+1+4+2+3+6+2+2+3+3+6+4+4+3+12+2+4+6+2+2+4+4+2+2+2+4+2+4+6+6+1+4+6+2+6+6+6+2+6+3+3+2+3+1+8+3+1+4+12+4+4+6+6+3+1+8+3+5+3+3+5+3+3+2+2+6+2+6+4+12+5+3</f>
        <v>530</v>
      </c>
      <c r="D30" s="8">
        <f>1+1+3+1+1+1+1+1+2+1</f>
        <v>13</v>
      </c>
      <c r="E30" s="69">
        <f>1800+3600+1800+1200+7200+3300+6300+7200+7500+6300+1200+3300+1200+4200+6000+12600+7200+9600+2400+14400+3600+6600+6600+4200+12600+3000+3000+6300+6600+3600+5400+3600+1800+7200+16200+4400+3600+6300+7200+5700+26400+2400+3000+6600+6900+14400+10800+6400+6600+4800+4800+5400+21600+4200+6300+1800+9000+6300+9900+10200+6300+15600+9000+2400+8400+4200+1200+6600+4200+5200+2100+3600+8400+7200+3600+7200+5400+6300+1200+6200+6000+8400+6300+1200+4800+19800+5700+8400+7200+12600+7500+6300+6300+6000+6300+4200+6000+9900+7200+14400+3600+5400+6000+1800+12000</f>
        <v>691200</v>
      </c>
      <c r="F30" s="19">
        <f>5700+13200+10500+4800+4500+6300+900+5400+12600+12600+6300+12600+18900+9300+8400+6300+6600+8400+5400+2400+5700+2400+6300+12600+5300+2200+4200+6600+4200+2100+4800+4200+4200+6300+10800+6600+7200+25200+7800+2400+10800+4800+4200+5400+7200+7200+4800+7200+4200+7200+2400+6300+3900+14400+3900+9600+11400+6300+5400+3600+7200+4800+9000+900+5400+4200</f>
        <v>453900</v>
      </c>
      <c r="G30" s="136"/>
      <c r="H30" s="20">
        <f t="shared" si="1"/>
        <v>1145100</v>
      </c>
    </row>
    <row r="31" spans="1:12" ht="21" customHeight="1" thickBot="1">
      <c r="A31" s="14">
        <v>45928</v>
      </c>
      <c r="B31" s="8">
        <f>3+1+3+2+6+6+6+6+3+6+3+6+1+4+6+4+3+2+10+2+6+1+12+3+4+3+10+6+3+12+24+2+1+2+6+6+2+1+6+2+6+6+3+2+6+12+6+2+6+4+4+3+2+6+12+4+6+6+3+3+2+3+6+9+6+5+4+4+1+1+2+6+7+6+1+2+8+4+4+2+4+6+6+6+6+4+12+6+6+2+6+12+6+1+6+1+2+1+12+12+3+3+2+4+4+6+3+4+6+2+6+4+6+3+4+4+6+12+2+2+6+3+3+4+6+4+2+4+2+6+3+12+4+6+6+6+3+3+4+1+6+5+3+2+6+3+3+5+4+6</f>
        <v>714</v>
      </c>
      <c r="C31" s="8">
        <f>2+1+4+8+12+4+2+5+8+6+1+2+1+2+2+6+1+5+2+8+9+2+12+6+6+4+8+6+6+4+6+6+4+6+4+6+1+6+3+5+3+4+4+4+6+3+2+12+5+2+6+6+6+3+7+4+1+6+2+6+3+2+6+6+3+6+3+10+2+6+6+4+1+2+5+2+4+2+12+6+6+8+6+6+2+6+3+6+6+16+4+4+1+2+1+3+2+6+6+6+1+6+2+2+18+8+3+4+2+9+4+4+10+6+6+12+3+8+6+10+6+2+6+4+9+2+6+8+4+2+6+10+12+12+12+36+3+5+2+3+12+6+1+4+2+2+5+6+10+14+3+6+6+3+6+6+2+7+6+6+12+12+9+9+9+6+2+12+12+6+3+9+4+12+12</f>
        <v>991</v>
      </c>
      <c r="D31" s="8">
        <f>3+3+1+3+1</f>
        <v>11</v>
      </c>
      <c r="E31" s="69">
        <f>1200+2400+2000+1800+5400+5400+2400+15600+12600+2700+7200+2700+1200+9000+3300+28000+13200+6300+4800+4800+4800+900+7200+6300+10800+9600+12600+13800+7200+2400+12600+8400+3600+13500+4200+12600+10800+6000+12000+14400+14300+14400+12600+6300+4200+12600+8700+8400+3300+9600+2700+18000+5000+7200+5500+8400+12600+16200+1700+7200+2000+19800+5400+14400+7200+3600+13500+6600+8400+5400+7200+7200+4200+6000+6300+11100+8400+2100+7800+6000+4200+7200+12600+6300+7200+16500+12600+4800+2000+4200+10800+2700+1800+8400+5400+2700+4500+1800+12600+7200+6000+6300+3600+3600+7200+12000+21000+6600+5400+3300+4200+5400+6900+4200+7200+13200+6000+14400+7200+7200+12600+12600+5400+4800+3600+7200+4800+5400+12600+3600+2400+1200+4800+9600+4800+2400+6000+9600+7200+10800+5400+1200+2400+2100+33710+10200</f>
        <v>1110010</v>
      </c>
      <c r="F31" s="19">
        <f>2700+4800+6300+5400+5300+6000+4200+19800+13800+12600+25200+7200+21000+16800+5400+6300+21600+5400+2600+4200+12600+14400+10800+10000+16200+19800+14400+7200+4800+12600+8700+6300+19800+8000+6000+8700+6300+8400+6600+19800+8700+10800+12600+12600+13800+7200+5700+6300+6300+6000+12600+6900+10800+5400+6600+14400+7200+7200+13200+15600+12600+14400+12600+7500+10800+6600+5400+7200+10800+3000+12600</f>
        <v>711400</v>
      </c>
      <c r="G31" s="136"/>
      <c r="H31" s="20">
        <f t="shared" si="1"/>
        <v>1821410</v>
      </c>
    </row>
    <row r="32" spans="1:12" ht="21" customHeight="1" thickBot="1">
      <c r="A32" s="14">
        <v>45929</v>
      </c>
      <c r="B32" s="8"/>
      <c r="C32" s="8"/>
      <c r="D32" s="8"/>
      <c r="E32" s="69"/>
      <c r="F32" s="19"/>
      <c r="G32" s="136"/>
      <c r="H32" s="20">
        <f t="shared" si="1"/>
        <v>0</v>
      </c>
    </row>
    <row r="33" spans="1:8" ht="21" customHeight="1" thickBot="1">
      <c r="A33" s="14">
        <v>45930</v>
      </c>
      <c r="B33" s="8">
        <f>3+6+1+3</f>
        <v>13</v>
      </c>
      <c r="C33" s="8">
        <f>4+4+6+2+6+5+3+2</f>
        <v>32</v>
      </c>
      <c r="D33" s="8"/>
      <c r="E33" s="69">
        <f>4800+7200+5000+6300+2400</f>
        <v>25700</v>
      </c>
      <c r="F33" s="19">
        <f>4800+6900</f>
        <v>11700</v>
      </c>
      <c r="G33" s="136">
        <f>14580</f>
        <v>14580</v>
      </c>
      <c r="H33" s="20">
        <f t="shared" si="1"/>
        <v>51980</v>
      </c>
    </row>
    <row r="34" spans="1:8" ht="21" customHeight="1" thickBot="1">
      <c r="A34" s="14"/>
      <c r="B34" s="8"/>
      <c r="C34" s="8"/>
      <c r="D34" s="8"/>
      <c r="E34" s="69"/>
      <c r="F34" s="19"/>
      <c r="G34" s="136"/>
      <c r="H34" s="20">
        <f t="shared" si="1"/>
        <v>0</v>
      </c>
    </row>
    <row r="35" spans="1:8" ht="21" customHeight="1">
      <c r="A35" s="14"/>
      <c r="B35" s="9"/>
      <c r="C35" s="9"/>
      <c r="D35" s="9"/>
      <c r="E35" s="9"/>
      <c r="F35" s="9"/>
      <c r="G35" s="9"/>
    </row>
    <row r="36" spans="1:8" ht="21" customHeight="1">
      <c r="A36" s="14"/>
      <c r="B36" s="9"/>
      <c r="C36" s="9"/>
      <c r="D36" s="9"/>
      <c r="E36" s="9"/>
      <c r="F36" s="9"/>
      <c r="G36" s="9"/>
    </row>
    <row r="37" spans="1:8" ht="21" customHeight="1">
      <c r="A37" s="14"/>
      <c r="B37" s="9"/>
      <c r="C37" s="9"/>
      <c r="D37" s="9"/>
      <c r="E37" s="9"/>
      <c r="F37" s="9"/>
      <c r="G37" s="9"/>
    </row>
    <row r="38" spans="1:8" ht="21" customHeight="1">
      <c r="A38" s="14"/>
      <c r="B38" s="9"/>
      <c r="C38" s="9"/>
      <c r="D38" s="9"/>
      <c r="E38" s="9"/>
      <c r="F38" s="9"/>
      <c r="G38" s="9"/>
    </row>
    <row r="39" spans="1:8" ht="21" customHeight="1">
      <c r="A39" s="14"/>
      <c r="B39" s="9"/>
      <c r="C39" s="9"/>
      <c r="D39" s="9"/>
      <c r="E39" s="9"/>
      <c r="F39" s="9"/>
      <c r="G39" s="9"/>
    </row>
    <row r="40" spans="1:8" ht="21" customHeight="1">
      <c r="A40" s="14"/>
      <c r="B40" s="9"/>
      <c r="C40" s="9"/>
      <c r="D40" s="9"/>
      <c r="E40" s="9"/>
      <c r="F40" s="9"/>
      <c r="G40" s="9"/>
    </row>
    <row r="41" spans="1:8" ht="21" customHeight="1">
      <c r="A41" s="9"/>
      <c r="B41" s="9"/>
      <c r="C41" s="9"/>
      <c r="D41" s="9"/>
      <c r="E41" s="9"/>
      <c r="F41" s="9"/>
      <c r="G41" s="9"/>
    </row>
    <row r="42" spans="1:8" ht="20.25">
      <c r="A42" s="7"/>
      <c r="B42" s="7"/>
      <c r="C42" s="7"/>
      <c r="D42" s="7"/>
      <c r="E42" s="7"/>
      <c r="F42" s="7"/>
      <c r="G42" s="7"/>
    </row>
    <row r="43" spans="1:8" ht="20.25">
      <c r="A43" s="7"/>
      <c r="B43" s="7"/>
      <c r="C43" s="7"/>
      <c r="D43" s="7"/>
      <c r="E43" s="7"/>
      <c r="F43" s="7"/>
      <c r="G43" s="7"/>
    </row>
    <row r="44" spans="1:8" ht="20.25">
      <c r="A44" s="7"/>
      <c r="B44" s="7"/>
      <c r="C44" s="7"/>
      <c r="D44" s="7"/>
      <c r="E44" s="7"/>
      <c r="F44" s="7"/>
      <c r="G44" s="7"/>
    </row>
  </sheetData>
  <mergeCells count="5">
    <mergeCell ref="A1:F1"/>
    <mergeCell ref="B2:C2"/>
    <mergeCell ref="J9:K9"/>
    <mergeCell ref="E2:G2"/>
    <mergeCell ref="J2:K2"/>
  </mergeCells>
  <pageMargins left="0.7" right="0.7" top="0.75" bottom="0.75" header="0.3" footer="0.3"/>
  <pageSetup orientation="portrait" copies="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29E0-3D0E-4C19-B6A9-987C4620703E}">
  <dimension ref="A1:BB148"/>
  <sheetViews>
    <sheetView topLeftCell="E1" zoomScaleNormal="100" workbookViewId="0">
      <pane ySplit="3" topLeftCell="A4" activePane="bottomLeft" state="frozen"/>
      <selection activeCell="F39" sqref="F39"/>
      <selection pane="bottomLeft" activeCell="G4" sqref="G4:G17"/>
    </sheetView>
  </sheetViews>
  <sheetFormatPr baseColWidth="10" defaultRowHeight="14.25"/>
  <cols>
    <col min="1" max="1" width="11" style="25"/>
    <col min="2" max="2" width="9.375" style="25" customWidth="1"/>
    <col min="3" max="3" width="19" style="25" customWidth="1"/>
    <col min="4" max="4" width="32.125" style="25" customWidth="1"/>
    <col min="5" max="5" width="10.125" style="25" customWidth="1"/>
    <col min="6" max="6" width="72.875" style="25" customWidth="1"/>
    <col min="7" max="7" width="13.75" style="25" customWidth="1"/>
    <col min="8" max="8" width="15.25" style="57" hidden="1" customWidth="1"/>
    <col min="9" max="9" width="15.625" style="57" hidden="1" customWidth="1"/>
    <col min="10" max="10" width="13.25" style="57" hidden="1" customWidth="1"/>
    <col min="11" max="11" width="15.625" style="25" customWidth="1"/>
    <col min="12" max="12" width="16.375" bestFit="1" customWidth="1"/>
    <col min="13" max="13" width="14.5" customWidth="1"/>
    <col min="14" max="14" width="13.25" customWidth="1"/>
  </cols>
  <sheetData>
    <row r="1" spans="1:54" s="85" customFormat="1">
      <c r="A1" s="80" t="s">
        <v>15</v>
      </c>
      <c r="B1" s="81"/>
      <c r="C1" s="81"/>
      <c r="D1" s="81"/>
      <c r="E1" s="81"/>
      <c r="F1" s="81"/>
      <c r="G1" s="81"/>
      <c r="H1" s="82"/>
      <c r="I1" s="82"/>
      <c r="J1" s="82"/>
      <c r="K1" s="83"/>
      <c r="L1" s="84"/>
      <c r="M1" s="84"/>
    </row>
    <row r="2" spans="1:54" s="85" customFormat="1">
      <c r="A2" s="86"/>
      <c r="B2" s="87"/>
      <c r="C2" s="87"/>
      <c r="D2" s="87"/>
      <c r="E2" s="87"/>
      <c r="F2" s="87"/>
      <c r="G2" s="87"/>
      <c r="H2" s="88"/>
      <c r="I2" s="88"/>
      <c r="J2" s="88"/>
      <c r="K2" s="235" t="s">
        <v>25</v>
      </c>
      <c r="L2" s="235"/>
      <c r="M2" s="235"/>
    </row>
    <row r="3" spans="1:54" s="85" customFormat="1">
      <c r="A3" s="90" t="s">
        <v>16</v>
      </c>
      <c r="B3" s="90" t="s">
        <v>17</v>
      </c>
      <c r="C3" s="90" t="s">
        <v>18</v>
      </c>
      <c r="D3" s="90" t="s">
        <v>19</v>
      </c>
      <c r="E3" s="90" t="s">
        <v>87</v>
      </c>
      <c r="F3" s="90" t="s">
        <v>20</v>
      </c>
      <c r="G3" s="90" t="s">
        <v>21</v>
      </c>
      <c r="H3" s="91" t="s">
        <v>22</v>
      </c>
      <c r="I3" s="91" t="s">
        <v>23</v>
      </c>
      <c r="J3" s="91" t="s">
        <v>24</v>
      </c>
      <c r="K3" s="142" t="s">
        <v>4</v>
      </c>
      <c r="L3" s="143" t="s">
        <v>37</v>
      </c>
      <c r="M3" s="144" t="s">
        <v>126</v>
      </c>
    </row>
    <row r="4" spans="1:54" s="165" customFormat="1">
      <c r="A4" s="161">
        <v>45930</v>
      </c>
      <c r="B4" s="161" t="s">
        <v>41</v>
      </c>
      <c r="C4" s="162" t="s">
        <v>147</v>
      </c>
      <c r="D4" s="161" t="s">
        <v>147</v>
      </c>
      <c r="E4" s="162">
        <v>1</v>
      </c>
      <c r="F4" s="163" t="s">
        <v>155</v>
      </c>
      <c r="G4" s="164">
        <f>20677+4894.54+7415.75</f>
        <v>32987.29</v>
      </c>
      <c r="H4" s="164"/>
      <c r="I4" s="164"/>
      <c r="J4" s="164"/>
      <c r="K4" s="164">
        <v>0</v>
      </c>
      <c r="L4" s="164"/>
      <c r="M4" s="166">
        <f>G4</f>
        <v>32987.29</v>
      </c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</row>
    <row r="5" spans="1:54">
      <c r="A5" s="35">
        <v>45940</v>
      </c>
      <c r="B5" s="152" t="s">
        <v>41</v>
      </c>
      <c r="C5" s="152" t="s">
        <v>30</v>
      </c>
      <c r="D5" s="153" t="s">
        <v>33</v>
      </c>
      <c r="E5" s="152">
        <v>600</v>
      </c>
      <c r="F5" s="154" t="s">
        <v>160</v>
      </c>
      <c r="G5" s="158">
        <f>62400+31200</f>
        <v>93600</v>
      </c>
      <c r="H5" s="156"/>
      <c r="I5" s="39"/>
      <c r="J5" s="39"/>
      <c r="K5" s="33">
        <f>G5</f>
        <v>93600</v>
      </c>
      <c r="L5" s="33"/>
    </row>
    <row r="6" spans="1:54">
      <c r="A6" s="47">
        <v>45943</v>
      </c>
      <c r="B6" s="48" t="s">
        <v>41</v>
      </c>
      <c r="C6" s="31" t="s">
        <v>32</v>
      </c>
      <c r="D6" s="30" t="s">
        <v>47</v>
      </c>
      <c r="E6" s="31">
        <v>4</v>
      </c>
      <c r="F6" s="32" t="s">
        <v>161</v>
      </c>
      <c r="G6" s="50">
        <f>25000*4</f>
        <v>100000</v>
      </c>
      <c r="H6" s="39"/>
      <c r="I6" s="39"/>
      <c r="J6" s="39"/>
      <c r="K6" s="50">
        <f>SUM(G6)</f>
        <v>100000</v>
      </c>
      <c r="L6" s="50"/>
    </row>
    <row r="7" spans="1:54">
      <c r="A7" s="30">
        <v>45943</v>
      </c>
      <c r="B7" s="30" t="s">
        <v>41</v>
      </c>
      <c r="C7" s="31" t="s">
        <v>26</v>
      </c>
      <c r="D7" s="30" t="s">
        <v>42</v>
      </c>
      <c r="E7" s="31">
        <v>1</v>
      </c>
      <c r="F7" s="32" t="s">
        <v>143</v>
      </c>
      <c r="G7" s="33">
        <v>10000</v>
      </c>
      <c r="H7" s="34"/>
      <c r="I7" s="34"/>
      <c r="J7" s="34"/>
      <c r="K7" s="33"/>
      <c r="L7" s="33">
        <f>G7</f>
        <v>10000</v>
      </c>
    </row>
    <row r="8" spans="1:54">
      <c r="A8" s="30">
        <v>45941</v>
      </c>
      <c r="B8" s="31" t="s">
        <v>41</v>
      </c>
      <c r="C8" s="31" t="s">
        <v>46</v>
      </c>
      <c r="D8" s="31" t="s">
        <v>56</v>
      </c>
      <c r="E8" s="31">
        <v>1</v>
      </c>
      <c r="F8" s="32" t="s">
        <v>162</v>
      </c>
      <c r="G8" s="33">
        <v>11677.6</v>
      </c>
      <c r="H8" s="33"/>
      <c r="I8" s="33"/>
      <c r="J8" s="33"/>
      <c r="K8" s="33"/>
      <c r="L8" s="33">
        <f>G8</f>
        <v>11677.6</v>
      </c>
    </row>
    <row r="9" spans="1:54" s="165" customFormat="1" ht="15" thickBot="1">
      <c r="A9" s="161">
        <v>45930</v>
      </c>
      <c r="B9" s="161" t="s">
        <v>41</v>
      </c>
      <c r="C9" s="162" t="s">
        <v>147</v>
      </c>
      <c r="D9" s="161" t="s">
        <v>147</v>
      </c>
      <c r="E9" s="162">
        <v>1</v>
      </c>
      <c r="F9" s="163" t="s">
        <v>163</v>
      </c>
      <c r="G9" s="164">
        <f>1119.23+235.04</f>
        <v>1354.27</v>
      </c>
      <c r="H9" s="164"/>
      <c r="I9" s="164"/>
      <c r="J9" s="164"/>
      <c r="K9" s="164">
        <v>0</v>
      </c>
      <c r="L9" s="164"/>
      <c r="M9" s="166">
        <f>G9</f>
        <v>1354.27</v>
      </c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</row>
    <row r="10" spans="1:54">
      <c r="A10" s="103">
        <v>45945</v>
      </c>
      <c r="B10" s="104" t="s">
        <v>41</v>
      </c>
      <c r="C10" s="105" t="s">
        <v>88</v>
      </c>
      <c r="D10" s="104" t="s">
        <v>89</v>
      </c>
      <c r="E10" s="105"/>
      <c r="F10" s="106" t="s">
        <v>156</v>
      </c>
      <c r="G10" s="107">
        <v>650000</v>
      </c>
      <c r="H10" s="107"/>
      <c r="I10" s="107"/>
      <c r="J10" s="107"/>
      <c r="K10" s="107">
        <v>400000</v>
      </c>
      <c r="L10" s="108">
        <v>250000</v>
      </c>
    </row>
    <row r="11" spans="1:54" ht="15" thickBot="1">
      <c r="A11" s="109">
        <v>45945</v>
      </c>
      <c r="B11" s="110" t="s">
        <v>41</v>
      </c>
      <c r="C11" s="111" t="s">
        <v>88</v>
      </c>
      <c r="D11" s="110" t="s">
        <v>91</v>
      </c>
      <c r="E11" s="111"/>
      <c r="F11" s="112" t="s">
        <v>157</v>
      </c>
      <c r="G11" s="113">
        <v>650000</v>
      </c>
      <c r="H11" s="113"/>
      <c r="I11" s="113"/>
      <c r="J11" s="113"/>
      <c r="K11" s="113">
        <v>350000</v>
      </c>
      <c r="L11" s="114">
        <v>300000</v>
      </c>
    </row>
    <row r="12" spans="1:54" s="165" customFormat="1">
      <c r="A12" s="161">
        <v>45947</v>
      </c>
      <c r="B12" s="161" t="s">
        <v>41</v>
      </c>
      <c r="C12" s="162" t="s">
        <v>147</v>
      </c>
      <c r="D12" s="161" t="s">
        <v>147</v>
      </c>
      <c r="E12" s="162">
        <v>1</v>
      </c>
      <c r="F12" s="163" t="s">
        <v>164</v>
      </c>
      <c r="G12" s="164">
        <f>31291.02+4829.1+7585.22+6600</f>
        <v>50305.340000000004</v>
      </c>
      <c r="H12" s="164"/>
      <c r="I12" s="164"/>
      <c r="J12" s="164"/>
      <c r="K12" s="164">
        <v>0</v>
      </c>
      <c r="L12" s="164"/>
      <c r="M12" s="166">
        <f>G12</f>
        <v>50305.340000000004</v>
      </c>
      <c r="N12" s="184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</row>
    <row r="13" spans="1:54">
      <c r="A13" s="30">
        <v>45951</v>
      </c>
      <c r="B13" s="31" t="s">
        <v>41</v>
      </c>
      <c r="C13" s="31" t="s">
        <v>58</v>
      </c>
      <c r="D13" s="31" t="s">
        <v>59</v>
      </c>
      <c r="E13" s="31"/>
      <c r="F13" s="32" t="s">
        <v>165</v>
      </c>
      <c r="G13" s="33">
        <v>16000</v>
      </c>
      <c r="H13" s="33"/>
      <c r="I13" s="33"/>
      <c r="J13" s="33"/>
      <c r="K13" s="33"/>
      <c r="L13" s="33">
        <f>G13</f>
        <v>16000</v>
      </c>
    </row>
    <row r="14" spans="1:54" s="165" customFormat="1">
      <c r="A14" s="161">
        <v>45954</v>
      </c>
      <c r="B14" s="161" t="s">
        <v>41</v>
      </c>
      <c r="C14" s="162" t="s">
        <v>147</v>
      </c>
      <c r="D14" s="161" t="s">
        <v>147</v>
      </c>
      <c r="E14" s="162">
        <v>1</v>
      </c>
      <c r="F14" s="163" t="s">
        <v>166</v>
      </c>
      <c r="G14" s="164">
        <f>54138.37+33500+17314.66+26000-5187.61</f>
        <v>125765.42</v>
      </c>
      <c r="H14" s="164"/>
      <c r="I14" s="164"/>
      <c r="J14" s="164"/>
      <c r="K14" s="164">
        <v>0</v>
      </c>
      <c r="L14" s="164"/>
      <c r="M14" s="166">
        <f>G14</f>
        <v>125765.42</v>
      </c>
      <c r="N14" s="184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</row>
    <row r="15" spans="1:54">
      <c r="A15" s="35">
        <v>45958</v>
      </c>
      <c r="B15" s="152" t="s">
        <v>41</v>
      </c>
      <c r="C15" s="152" t="s">
        <v>30</v>
      </c>
      <c r="D15" s="153" t="s">
        <v>33</v>
      </c>
      <c r="E15" s="152">
        <v>400</v>
      </c>
      <c r="F15" s="154" t="s">
        <v>34</v>
      </c>
      <c r="G15" s="158">
        <v>62400</v>
      </c>
      <c r="H15" s="156"/>
      <c r="I15" s="39"/>
      <c r="J15" s="39"/>
      <c r="K15" s="33"/>
      <c r="L15" s="33"/>
    </row>
    <row r="16" spans="1:54">
      <c r="A16" s="35">
        <v>45958</v>
      </c>
      <c r="B16" s="48" t="s">
        <v>41</v>
      </c>
      <c r="C16" s="151" t="s">
        <v>31</v>
      </c>
      <c r="D16" s="47" t="s">
        <v>33</v>
      </c>
      <c r="E16" s="48">
        <v>400</v>
      </c>
      <c r="F16" s="155" t="s">
        <v>115</v>
      </c>
      <c r="G16" s="159">
        <v>143200</v>
      </c>
      <c r="H16" s="157"/>
      <c r="I16" s="51"/>
      <c r="J16" s="51"/>
      <c r="K16" s="33"/>
      <c r="L16" s="33"/>
    </row>
    <row r="17" spans="1:13">
      <c r="A17" s="35">
        <v>45958</v>
      </c>
      <c r="B17" s="48" t="s">
        <v>41</v>
      </c>
      <c r="C17" s="151" t="s">
        <v>31</v>
      </c>
      <c r="D17" s="47" t="s">
        <v>33</v>
      </c>
      <c r="E17" s="48">
        <v>200</v>
      </c>
      <c r="F17" s="155" t="s">
        <v>115</v>
      </c>
      <c r="G17" s="159">
        <v>71100</v>
      </c>
      <c r="H17" s="157"/>
      <c r="I17" s="51"/>
      <c r="J17" s="51"/>
      <c r="K17" s="33">
        <f>G15+G16+G17</f>
        <v>276700</v>
      </c>
      <c r="L17" s="33"/>
    </row>
    <row r="18" spans="1:13">
      <c r="A18" s="35"/>
      <c r="B18" s="152"/>
      <c r="C18" s="152"/>
      <c r="D18" s="153"/>
      <c r="E18" s="152"/>
      <c r="F18" s="154"/>
      <c r="G18" s="158"/>
      <c r="H18" s="156"/>
      <c r="I18" s="39"/>
      <c r="J18" s="39"/>
      <c r="K18" s="33"/>
      <c r="L18" s="33"/>
    </row>
    <row r="19" spans="1:13">
      <c r="A19" s="150"/>
      <c r="B19" s="48"/>
      <c r="C19" s="151"/>
      <c r="D19" s="47"/>
      <c r="E19" s="48"/>
      <c r="F19" s="155"/>
      <c r="G19" s="159"/>
      <c r="H19" s="157"/>
      <c r="I19" s="51"/>
      <c r="J19" s="51"/>
      <c r="K19" s="33"/>
      <c r="L19" s="33"/>
      <c r="M19" s="131">
        <f>203823-G14+5187.61</f>
        <v>83245.19</v>
      </c>
    </row>
    <row r="20" spans="1:13">
      <c r="A20" s="47"/>
      <c r="B20" s="48"/>
      <c r="C20" s="48"/>
      <c r="D20" s="47"/>
      <c r="E20" s="48"/>
      <c r="F20" s="155"/>
      <c r="G20" s="160"/>
      <c r="H20" s="156"/>
      <c r="I20" s="39"/>
      <c r="J20" s="39"/>
      <c r="K20" s="50"/>
      <c r="L20" s="50"/>
    </row>
    <row r="21" spans="1:13">
      <c r="A21" s="30"/>
      <c r="B21" s="31"/>
      <c r="C21" s="31"/>
      <c r="D21" s="30"/>
      <c r="E21" s="31"/>
      <c r="F21" s="32"/>
      <c r="G21" s="45"/>
      <c r="H21" s="51"/>
      <c r="I21" s="51"/>
      <c r="J21" s="51"/>
      <c r="K21" s="33"/>
      <c r="L21" s="33"/>
    </row>
    <row r="22" spans="1:13">
      <c r="A22" s="30"/>
      <c r="B22" s="30"/>
      <c r="C22" s="31"/>
      <c r="D22" s="30"/>
      <c r="E22" s="31"/>
      <c r="F22" s="32"/>
      <c r="G22" s="33"/>
      <c r="H22" s="34"/>
      <c r="I22" s="34"/>
      <c r="J22" s="34"/>
      <c r="K22" s="33"/>
      <c r="L22" s="33"/>
    </row>
    <row r="23" spans="1:13">
      <c r="A23" s="30"/>
      <c r="B23" s="31"/>
      <c r="C23" s="31"/>
      <c r="D23" s="31"/>
      <c r="E23" s="31"/>
      <c r="F23" s="32"/>
      <c r="G23" s="33"/>
      <c r="H23" s="33"/>
      <c r="I23" s="33"/>
      <c r="J23" s="33"/>
      <c r="K23" s="33"/>
      <c r="L23" s="33"/>
    </row>
    <row r="24" spans="1:13">
      <c r="A24" s="47"/>
      <c r="B24" s="48"/>
      <c r="C24" s="31"/>
      <c r="D24" s="30"/>
      <c r="E24" s="31"/>
      <c r="F24" s="32"/>
      <c r="G24" s="50"/>
      <c r="H24" s="39"/>
      <c r="I24" s="39"/>
      <c r="J24" s="39"/>
      <c r="K24" s="50"/>
      <c r="L24" s="50"/>
    </row>
    <row r="25" spans="1:13">
      <c r="A25" s="35"/>
      <c r="B25" s="37"/>
      <c r="C25" s="48"/>
      <c r="D25" s="47"/>
      <c r="E25" s="48"/>
      <c r="F25" s="49"/>
      <c r="G25" s="52"/>
      <c r="H25" s="39"/>
      <c r="I25" s="39"/>
      <c r="J25" s="39"/>
      <c r="K25" s="52"/>
      <c r="L25" s="52"/>
    </row>
    <row r="26" spans="1:13" s="149" customFormat="1">
      <c r="A26" s="145"/>
      <c r="B26" s="48"/>
      <c r="C26" s="48"/>
      <c r="D26" s="145"/>
      <c r="E26" s="48"/>
      <c r="F26" s="146"/>
      <c r="G26" s="50"/>
      <c r="H26" s="148"/>
      <c r="I26" s="148"/>
      <c r="J26" s="148"/>
      <c r="K26" s="147"/>
      <c r="L26" s="50"/>
    </row>
    <row r="27" spans="1:13">
      <c r="A27" s="47"/>
      <c r="B27" s="42"/>
      <c r="C27" s="48"/>
      <c r="D27" s="47"/>
      <c r="E27" s="48"/>
      <c r="F27" s="49"/>
      <c r="G27" s="45"/>
      <c r="H27" s="51"/>
      <c r="I27" s="51"/>
      <c r="J27" s="51"/>
      <c r="K27" s="45"/>
      <c r="L27" s="45"/>
    </row>
    <row r="28" spans="1:13">
      <c r="A28" s="30"/>
      <c r="B28" s="42"/>
      <c r="C28" s="31"/>
      <c r="D28" s="30"/>
      <c r="E28" s="31"/>
      <c r="F28" s="32"/>
      <c r="G28" s="33"/>
      <c r="H28" s="34"/>
      <c r="I28" s="34"/>
      <c r="J28" s="34"/>
      <c r="K28" s="33"/>
      <c r="L28" s="33"/>
    </row>
    <row r="29" spans="1:13">
      <c r="A29" s="30"/>
      <c r="B29" s="42"/>
      <c r="C29" s="31"/>
      <c r="D29" s="30"/>
      <c r="E29" s="31"/>
      <c r="F29" s="32"/>
      <c r="G29" s="33"/>
      <c r="H29" s="34"/>
      <c r="I29" s="34"/>
      <c r="J29" s="34"/>
      <c r="K29" s="33"/>
      <c r="L29" s="33"/>
    </row>
    <row r="30" spans="1:13">
      <c r="A30" s="47"/>
      <c r="B30" s="48"/>
      <c r="C30" s="48"/>
      <c r="D30" s="47"/>
      <c r="E30" s="48"/>
      <c r="F30" s="49"/>
      <c r="G30" s="50"/>
      <c r="H30" s="39"/>
      <c r="I30" s="39"/>
      <c r="J30" s="39"/>
      <c r="K30" s="50"/>
      <c r="L30" s="50"/>
    </row>
    <row r="31" spans="1:13">
      <c r="A31" s="47"/>
      <c r="B31" s="48"/>
      <c r="C31" s="48"/>
      <c r="D31" s="47"/>
      <c r="E31" s="48"/>
      <c r="F31" s="49"/>
      <c r="G31" s="50"/>
      <c r="H31" s="39"/>
      <c r="I31" s="39"/>
      <c r="J31" s="39"/>
      <c r="K31" s="50"/>
      <c r="L31" s="50"/>
    </row>
    <row r="32" spans="1:13">
      <c r="A32" s="47"/>
      <c r="B32" s="48"/>
      <c r="C32" s="31"/>
      <c r="D32" s="30"/>
      <c r="E32" s="31"/>
      <c r="F32" s="32"/>
      <c r="G32" s="50"/>
      <c r="H32" s="39"/>
      <c r="I32" s="39"/>
      <c r="J32" s="39"/>
      <c r="K32" s="50"/>
      <c r="L32" s="50"/>
    </row>
    <row r="33" spans="1:54">
      <c r="A33" s="30"/>
      <c r="B33" s="42"/>
      <c r="C33" s="31"/>
      <c r="D33" s="30"/>
      <c r="E33" s="31"/>
      <c r="F33" s="32"/>
      <c r="G33" s="33"/>
      <c r="H33" s="34"/>
      <c r="I33" s="34"/>
      <c r="J33" s="34"/>
      <c r="K33" s="33"/>
      <c r="L33" s="33"/>
    </row>
    <row r="34" spans="1:54">
      <c r="A34" s="40"/>
      <c r="B34" s="31"/>
      <c r="C34" s="42"/>
      <c r="D34" s="40"/>
      <c r="E34" s="42"/>
      <c r="F34" s="43"/>
      <c r="G34" s="33"/>
      <c r="H34" s="44"/>
      <c r="I34" s="44"/>
      <c r="J34" s="44"/>
      <c r="K34" s="33"/>
      <c r="L34" s="50"/>
    </row>
    <row r="35" spans="1:54">
      <c r="A35" s="30"/>
      <c r="B35" s="30"/>
      <c r="C35" s="31"/>
      <c r="D35" s="30"/>
      <c r="E35" s="31"/>
      <c r="F35" s="32"/>
      <c r="G35" s="33"/>
      <c r="H35" s="34"/>
      <c r="I35" s="34"/>
      <c r="J35" s="34"/>
      <c r="K35" s="33"/>
      <c r="L35" s="33"/>
    </row>
    <row r="36" spans="1:54">
      <c r="A36" s="30"/>
      <c r="B36" s="46"/>
      <c r="C36" s="31"/>
      <c r="D36" s="30"/>
      <c r="E36" s="31"/>
      <c r="F36" s="32"/>
      <c r="G36" s="33"/>
      <c r="H36" s="34"/>
      <c r="I36" s="34"/>
      <c r="J36" s="34"/>
      <c r="K36" s="33"/>
      <c r="L36" s="33"/>
    </row>
    <row r="37" spans="1:54">
      <c r="A37" s="35"/>
      <c r="B37" s="37"/>
      <c r="C37" s="48"/>
      <c r="D37" s="47"/>
      <c r="E37" s="48"/>
      <c r="F37" s="49"/>
      <c r="G37" s="52"/>
      <c r="H37" s="39"/>
      <c r="I37" s="39"/>
      <c r="J37" s="39"/>
      <c r="K37" s="52"/>
      <c r="L37" s="52"/>
    </row>
    <row r="38" spans="1:54" s="149" customFormat="1">
      <c r="A38" s="145"/>
      <c r="B38" s="48"/>
      <c r="C38" s="48"/>
      <c r="D38" s="145"/>
      <c r="E38" s="48"/>
      <c r="F38" s="146"/>
      <c r="G38" s="50"/>
      <c r="H38" s="148"/>
      <c r="I38" s="148"/>
      <c r="J38" s="148"/>
      <c r="K38" s="147"/>
      <c r="L38" s="50"/>
    </row>
    <row r="39" spans="1:54">
      <c r="A39" s="47"/>
      <c r="B39" s="48"/>
      <c r="C39" s="48"/>
      <c r="D39" s="47"/>
      <c r="E39" s="48"/>
      <c r="F39" s="49"/>
      <c r="G39" s="50"/>
      <c r="H39" s="39"/>
      <c r="I39" s="39"/>
      <c r="J39" s="39"/>
      <c r="K39" s="50"/>
      <c r="L39" s="50"/>
    </row>
    <row r="40" spans="1:54" s="165" customFormat="1">
      <c r="A40" s="161"/>
      <c r="B40" s="161"/>
      <c r="C40" s="162"/>
      <c r="D40" s="161"/>
      <c r="E40" s="162"/>
      <c r="F40" s="163"/>
      <c r="G40" s="164"/>
      <c r="H40" s="164"/>
      <c r="I40" s="164"/>
      <c r="J40" s="164"/>
      <c r="K40" s="164"/>
      <c r="L40" s="164"/>
      <c r="M40" s="166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</row>
    <row r="41" spans="1:54">
      <c r="A41" s="30"/>
      <c r="B41" s="31"/>
      <c r="C41" s="31"/>
      <c r="D41" s="31"/>
      <c r="E41" s="31"/>
      <c r="F41" s="32"/>
      <c r="G41" s="33"/>
      <c r="H41" s="33"/>
      <c r="I41" s="33"/>
      <c r="J41" s="33"/>
      <c r="K41" s="33"/>
      <c r="L41" s="33"/>
    </row>
    <row r="42" spans="1:54">
      <c r="A42" s="66"/>
      <c r="B42" s="66"/>
      <c r="C42" s="67"/>
      <c r="D42" s="66"/>
      <c r="E42" s="67"/>
      <c r="F42" s="68"/>
      <c r="G42" s="34"/>
      <c r="H42" s="34"/>
      <c r="I42" s="34"/>
      <c r="J42" s="34"/>
      <c r="K42" s="34"/>
      <c r="L42" s="34"/>
    </row>
    <row r="43" spans="1:54">
      <c r="A43" s="47"/>
      <c r="B43" s="48"/>
      <c r="C43" s="31"/>
      <c r="D43" s="30"/>
      <c r="E43" s="31"/>
      <c r="F43" s="32"/>
      <c r="G43" s="50"/>
      <c r="H43" s="39"/>
      <c r="I43" s="39"/>
      <c r="J43" s="39"/>
      <c r="K43" s="50"/>
      <c r="L43" s="50"/>
    </row>
    <row r="44" spans="1:54">
      <c r="A44" s="35"/>
      <c r="B44" s="37"/>
      <c r="C44" s="48"/>
      <c r="D44" s="47"/>
      <c r="E44" s="48"/>
      <c r="F44" s="49"/>
      <c r="G44" s="52"/>
      <c r="H44" s="39"/>
      <c r="I44" s="39"/>
      <c r="J44" s="39"/>
      <c r="K44" s="52"/>
      <c r="L44" s="52"/>
    </row>
    <row r="45" spans="1:54" s="149" customFormat="1">
      <c r="A45" s="145"/>
      <c r="B45" s="48"/>
      <c r="C45" s="48"/>
      <c r="D45" s="145"/>
      <c r="E45" s="48"/>
      <c r="F45" s="146"/>
      <c r="G45" s="50"/>
      <c r="H45" s="148"/>
      <c r="I45" s="148"/>
      <c r="J45" s="148"/>
      <c r="K45" s="147"/>
      <c r="L45" s="50"/>
    </row>
    <row r="46" spans="1:54">
      <c r="A46" s="40"/>
      <c r="B46" s="31"/>
      <c r="C46" s="40"/>
      <c r="D46" s="40"/>
      <c r="E46" s="42"/>
      <c r="F46" s="43"/>
      <c r="G46" s="33"/>
      <c r="H46" s="44"/>
      <c r="I46" s="44"/>
      <c r="J46" s="44"/>
      <c r="K46" s="33"/>
      <c r="L46" s="40"/>
    </row>
    <row r="47" spans="1:54" s="165" customFormat="1" ht="15" thickBot="1">
      <c r="A47" s="161"/>
      <c r="B47" s="161"/>
      <c r="C47" s="162"/>
      <c r="D47" s="161"/>
      <c r="E47" s="162"/>
      <c r="F47" s="163"/>
      <c r="G47" s="164"/>
      <c r="H47" s="164"/>
      <c r="I47" s="164"/>
      <c r="J47" s="164"/>
      <c r="K47" s="164"/>
      <c r="L47" s="164"/>
      <c r="M47" s="166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</row>
    <row r="48" spans="1:54">
      <c r="A48" s="103"/>
      <c r="B48" s="104"/>
      <c r="C48" s="105"/>
      <c r="D48" s="104"/>
      <c r="E48" s="105"/>
      <c r="F48" s="106"/>
      <c r="G48" s="107"/>
      <c r="H48" s="107"/>
      <c r="I48" s="107"/>
      <c r="J48" s="107"/>
      <c r="K48" s="107"/>
      <c r="L48" s="108"/>
    </row>
    <row r="49" spans="1:12" ht="15" thickBot="1">
      <c r="A49" s="109"/>
      <c r="B49" s="110"/>
      <c r="C49" s="111"/>
      <c r="D49" s="110"/>
      <c r="E49" s="111"/>
      <c r="F49" s="112"/>
      <c r="G49" s="113"/>
      <c r="H49" s="113"/>
      <c r="I49" s="113"/>
      <c r="J49" s="113"/>
      <c r="K49" s="113"/>
      <c r="L49" s="114"/>
    </row>
    <row r="50" spans="1:12">
      <c r="A50" s="47"/>
      <c r="B50" s="48" t="s">
        <v>41</v>
      </c>
      <c r="C50" s="48"/>
      <c r="D50" s="47"/>
      <c r="E50" s="48"/>
      <c r="F50" s="49"/>
      <c r="G50" s="50"/>
      <c r="H50" s="34"/>
      <c r="I50" s="34"/>
      <c r="J50" s="34"/>
      <c r="K50" s="50"/>
      <c r="L50" s="50"/>
    </row>
    <row r="51" spans="1:12">
      <c r="A51" s="47"/>
      <c r="B51" s="48" t="s">
        <v>41</v>
      </c>
      <c r="C51" s="48"/>
      <c r="D51" s="47"/>
      <c r="E51" s="48"/>
      <c r="F51" s="49"/>
      <c r="G51" s="50"/>
      <c r="H51" s="39"/>
      <c r="I51" s="39"/>
      <c r="J51" s="39"/>
      <c r="K51" s="50"/>
      <c r="L51" s="50"/>
    </row>
    <row r="52" spans="1:12">
      <c r="A52" s="35"/>
      <c r="B52" s="37" t="s">
        <v>41</v>
      </c>
      <c r="C52" s="37"/>
      <c r="D52" s="35"/>
      <c r="E52" s="37"/>
      <c r="F52" s="38"/>
      <c r="G52" s="52"/>
      <c r="H52" s="34"/>
      <c r="I52" s="34"/>
      <c r="J52" s="34"/>
      <c r="K52" s="52"/>
      <c r="L52" s="52"/>
    </row>
    <row r="53" spans="1:12">
      <c r="A53" s="47"/>
      <c r="B53" s="48" t="s">
        <v>41</v>
      </c>
      <c r="C53" s="48"/>
      <c r="D53" s="47"/>
      <c r="E53" s="48"/>
      <c r="F53" s="49"/>
      <c r="G53" s="50"/>
      <c r="H53" s="34"/>
      <c r="I53" s="34"/>
      <c r="J53" s="34"/>
      <c r="K53" s="50"/>
      <c r="L53" s="50"/>
    </row>
    <row r="54" spans="1:12">
      <c r="A54" s="47"/>
      <c r="B54" s="48" t="s">
        <v>41</v>
      </c>
      <c r="C54" s="48"/>
      <c r="D54" s="47"/>
      <c r="E54" s="48"/>
      <c r="F54" s="49"/>
      <c r="G54" s="50"/>
      <c r="H54" s="39"/>
      <c r="I54" s="39"/>
      <c r="J54" s="39"/>
      <c r="K54" s="50"/>
      <c r="L54" s="50"/>
    </row>
    <row r="55" spans="1:12">
      <c r="A55" s="47"/>
      <c r="B55" s="48" t="s">
        <v>41</v>
      </c>
      <c r="C55" s="48"/>
      <c r="D55" s="47"/>
      <c r="E55" s="48"/>
      <c r="F55" s="49"/>
      <c r="G55" s="50"/>
      <c r="H55" s="39"/>
      <c r="I55" s="39"/>
      <c r="J55" s="39"/>
      <c r="K55" s="50"/>
      <c r="L55" s="50"/>
    </row>
    <row r="56" spans="1:12">
      <c r="A56" s="30"/>
      <c r="B56" s="31" t="s">
        <v>41</v>
      </c>
      <c r="C56" s="31"/>
      <c r="D56" s="31"/>
      <c r="E56" s="31"/>
      <c r="F56" s="32"/>
      <c r="G56" s="33"/>
      <c r="H56" s="33"/>
      <c r="I56" s="33"/>
      <c r="J56" s="33"/>
      <c r="K56" s="33"/>
      <c r="L56" s="33"/>
    </row>
    <row r="57" spans="1:12">
      <c r="A57" s="35"/>
      <c r="B57" s="31" t="s">
        <v>41</v>
      </c>
      <c r="C57" s="37"/>
      <c r="D57" s="35"/>
      <c r="E57" s="37"/>
      <c r="F57" s="38"/>
      <c r="G57" s="33"/>
      <c r="H57" s="39"/>
      <c r="I57" s="39"/>
      <c r="J57" s="39"/>
      <c r="K57" s="33"/>
      <c r="L57" s="33"/>
    </row>
    <row r="58" spans="1:12">
      <c r="A58" s="47"/>
      <c r="B58" s="31" t="s">
        <v>41</v>
      </c>
      <c r="C58" s="48"/>
      <c r="D58" s="47"/>
      <c r="E58" s="48"/>
      <c r="F58" s="49"/>
      <c r="G58" s="33"/>
      <c r="H58" s="51"/>
      <c r="I58" s="51"/>
      <c r="J58" s="51"/>
      <c r="K58" s="33"/>
      <c r="L58" s="33"/>
    </row>
    <row r="59" spans="1:12">
      <c r="A59" s="40"/>
      <c r="B59" s="31" t="s">
        <v>41</v>
      </c>
      <c r="C59" s="42"/>
      <c r="D59" s="40"/>
      <c r="E59" s="42"/>
      <c r="F59" s="43"/>
      <c r="G59" s="33"/>
      <c r="H59" s="44"/>
      <c r="I59" s="44"/>
      <c r="J59" s="44"/>
      <c r="K59" s="33"/>
      <c r="L59" s="33"/>
    </row>
    <row r="60" spans="1:12">
      <c r="A60" s="40"/>
      <c r="B60" s="31" t="s">
        <v>41</v>
      </c>
      <c r="C60" s="42"/>
      <c r="D60" s="40"/>
      <c r="E60" s="42"/>
      <c r="F60" s="43"/>
      <c r="G60" s="33"/>
      <c r="H60" s="44"/>
      <c r="I60" s="44"/>
      <c r="J60" s="44"/>
      <c r="K60" s="33"/>
      <c r="L60" s="33"/>
    </row>
    <row r="61" spans="1:12">
      <c r="A61" s="40"/>
      <c r="B61" s="31" t="s">
        <v>41</v>
      </c>
      <c r="C61" s="42"/>
      <c r="D61" s="40"/>
      <c r="E61" s="42"/>
      <c r="F61" s="43"/>
      <c r="G61" s="33"/>
      <c r="H61" s="44"/>
      <c r="I61" s="44"/>
      <c r="J61" s="44"/>
      <c r="K61" s="33"/>
      <c r="L61" s="40"/>
    </row>
    <row r="62" spans="1:12" ht="15" thickBot="1">
      <c r="A62" s="40"/>
      <c r="B62" s="31" t="s">
        <v>41</v>
      </c>
      <c r="C62" s="42"/>
      <c r="D62" s="40"/>
      <c r="E62" s="42"/>
      <c r="F62" s="43"/>
      <c r="G62" s="33"/>
      <c r="H62" s="44"/>
      <c r="I62" s="44"/>
      <c r="J62" s="44"/>
      <c r="K62" s="33"/>
      <c r="L62" s="40"/>
    </row>
    <row r="63" spans="1:12">
      <c r="A63" s="103"/>
      <c r="B63" s="104" t="s">
        <v>41</v>
      </c>
      <c r="C63" s="105"/>
      <c r="D63" s="104"/>
      <c r="E63" s="105"/>
      <c r="F63" s="106"/>
      <c r="G63" s="107"/>
      <c r="H63" s="107"/>
      <c r="I63" s="107"/>
      <c r="J63" s="107"/>
      <c r="K63" s="107"/>
      <c r="L63" s="108"/>
    </row>
    <row r="64" spans="1:12" ht="15" thickBot="1">
      <c r="A64" s="109"/>
      <c r="B64" s="110" t="s">
        <v>41</v>
      </c>
      <c r="C64" s="111"/>
      <c r="D64" s="110"/>
      <c r="E64" s="111"/>
      <c r="F64" s="112"/>
      <c r="G64" s="113"/>
      <c r="H64" s="113"/>
      <c r="I64" s="113"/>
      <c r="J64" s="113"/>
      <c r="K64" s="113"/>
      <c r="L64" s="114"/>
    </row>
    <row r="65" spans="1:12">
      <c r="A65" s="66"/>
      <c r="B65" s="66" t="s">
        <v>41</v>
      </c>
      <c r="C65" s="67"/>
      <c r="D65" s="66"/>
      <c r="E65" s="67"/>
      <c r="F65" s="68"/>
      <c r="G65" s="34"/>
      <c r="H65" s="34"/>
      <c r="I65" s="34"/>
      <c r="J65" s="34"/>
      <c r="K65" s="34"/>
      <c r="L65" s="34"/>
    </row>
    <row r="66" spans="1:12">
      <c r="A66" s="40"/>
      <c r="B66" s="31" t="s">
        <v>41</v>
      </c>
      <c r="C66" s="40"/>
      <c r="D66" s="40"/>
      <c r="E66" s="42"/>
      <c r="F66" s="43"/>
      <c r="G66" s="33"/>
      <c r="H66" s="44"/>
      <c r="I66" s="44"/>
      <c r="J66" s="44"/>
      <c r="K66" s="33"/>
      <c r="L66" s="40"/>
    </row>
    <row r="67" spans="1:12">
      <c r="A67" s="30"/>
      <c r="B67" s="31" t="s">
        <v>41</v>
      </c>
      <c r="C67" s="31"/>
      <c r="D67" s="31"/>
      <c r="E67" s="31"/>
      <c r="F67" s="32"/>
      <c r="G67" s="33"/>
      <c r="H67" s="33"/>
      <c r="I67" s="33"/>
      <c r="J67" s="33"/>
      <c r="K67" s="33"/>
      <c r="L67" s="33"/>
    </row>
    <row r="68" spans="1:12">
      <c r="A68" s="30"/>
      <c r="B68" s="30" t="s">
        <v>41</v>
      </c>
      <c r="C68" s="31"/>
      <c r="D68" s="30"/>
      <c r="E68" s="31"/>
      <c r="F68" s="32"/>
      <c r="G68" s="33"/>
      <c r="H68" s="34"/>
      <c r="I68" s="34"/>
      <c r="J68" s="34"/>
      <c r="K68" s="33"/>
      <c r="L68" s="33"/>
    </row>
    <row r="69" spans="1:12">
      <c r="A69" s="30"/>
      <c r="B69" s="31" t="s">
        <v>41</v>
      </c>
      <c r="C69" s="31"/>
      <c r="D69" s="31"/>
      <c r="E69" s="31"/>
      <c r="F69" s="32"/>
      <c r="G69" s="33"/>
      <c r="H69" s="33"/>
      <c r="I69" s="33"/>
      <c r="J69" s="33"/>
      <c r="K69" s="33"/>
      <c r="L69" s="33"/>
    </row>
    <row r="70" spans="1:12">
      <c r="A70" s="30"/>
      <c r="B70" s="46" t="s">
        <v>41</v>
      </c>
      <c r="C70" s="31"/>
      <c r="D70" s="30"/>
      <c r="E70" s="31"/>
      <c r="F70" s="32"/>
      <c r="G70" s="33"/>
      <c r="H70" s="34"/>
      <c r="I70" s="34"/>
      <c r="J70" s="34"/>
      <c r="K70" s="33"/>
      <c r="L70" s="33"/>
    </row>
    <row r="71" spans="1:12">
      <c r="A71" s="40"/>
      <c r="B71" s="31" t="s">
        <v>41</v>
      </c>
      <c r="C71" s="40"/>
      <c r="D71" s="40"/>
      <c r="E71" s="42"/>
      <c r="F71" s="43"/>
      <c r="G71" s="33"/>
      <c r="H71" s="44"/>
      <c r="I71" s="44"/>
      <c r="J71" s="44"/>
      <c r="K71" s="33"/>
      <c r="L71" s="40"/>
    </row>
    <row r="72" spans="1:12">
      <c r="A72" s="47"/>
      <c r="B72" s="48" t="s">
        <v>41</v>
      </c>
      <c r="C72" s="48"/>
      <c r="D72" s="47"/>
      <c r="E72" s="48"/>
      <c r="F72" s="49"/>
      <c r="G72" s="50"/>
      <c r="H72" s="39"/>
      <c r="I72" s="39"/>
      <c r="J72" s="39"/>
      <c r="K72" s="50"/>
      <c r="L72" s="50"/>
    </row>
    <row r="73" spans="1:12">
      <c r="A73" s="40"/>
      <c r="B73" s="31" t="s">
        <v>41</v>
      </c>
      <c r="C73" s="42"/>
      <c r="D73" s="40"/>
      <c r="E73" s="42"/>
      <c r="F73" s="43"/>
      <c r="G73" s="33"/>
      <c r="H73" s="44"/>
      <c r="I73" s="44"/>
      <c r="J73" s="44"/>
      <c r="K73" s="33"/>
      <c r="L73" s="40"/>
    </row>
    <row r="74" spans="1:12">
      <c r="A74" s="35"/>
      <c r="B74" s="31" t="s">
        <v>41</v>
      </c>
      <c r="C74" s="37"/>
      <c r="D74" s="35"/>
      <c r="E74" s="37"/>
      <c r="F74" s="38"/>
      <c r="G74" s="33"/>
      <c r="H74" s="39"/>
      <c r="I74" s="39"/>
      <c r="J74" s="39"/>
      <c r="K74" s="33"/>
      <c r="L74" s="33"/>
    </row>
    <row r="75" spans="1:12">
      <c r="A75" s="47"/>
      <c r="B75" s="31" t="s">
        <v>41</v>
      </c>
      <c r="C75" s="48"/>
      <c r="D75" s="47"/>
      <c r="E75" s="48"/>
      <c r="F75" s="49"/>
      <c r="G75" s="33"/>
      <c r="H75" s="51"/>
      <c r="I75" s="51"/>
      <c r="J75" s="51"/>
      <c r="K75" s="33"/>
      <c r="L75" s="33"/>
    </row>
    <row r="76" spans="1:12">
      <c r="A76" s="40"/>
      <c r="B76" s="128" t="s">
        <v>41</v>
      </c>
      <c r="C76" s="48"/>
      <c r="D76" s="48"/>
      <c r="E76" s="48"/>
      <c r="F76" s="130"/>
      <c r="G76" s="129"/>
      <c r="H76" s="44"/>
      <c r="I76" s="44"/>
      <c r="J76" s="44"/>
      <c r="K76" s="33"/>
      <c r="L76" s="33"/>
    </row>
    <row r="77" spans="1:12">
      <c r="A77" s="35"/>
      <c r="B77" s="31" t="s">
        <v>41</v>
      </c>
      <c r="C77" s="42"/>
      <c r="D77" s="40"/>
      <c r="E77" s="42"/>
      <c r="F77" s="43"/>
      <c r="G77" s="33"/>
      <c r="H77" s="39"/>
      <c r="I77" s="39"/>
      <c r="J77" s="39"/>
      <c r="K77" s="33"/>
      <c r="L77" s="33"/>
    </row>
    <row r="78" spans="1:12">
      <c r="A78" s="40"/>
      <c r="B78" s="31" t="s">
        <v>41</v>
      </c>
      <c r="C78" s="42"/>
      <c r="D78" s="40"/>
      <c r="E78" s="42"/>
      <c r="F78" s="43"/>
      <c r="G78" s="33"/>
      <c r="H78" s="44"/>
      <c r="I78" s="44"/>
      <c r="J78" s="44"/>
      <c r="K78" s="33"/>
      <c r="L78" s="33"/>
    </row>
    <row r="79" spans="1:12" ht="13.5" customHeight="1">
      <c r="A79" s="35"/>
      <c r="B79" s="31" t="s">
        <v>41</v>
      </c>
      <c r="C79" s="42"/>
      <c r="D79" s="40"/>
      <c r="E79" s="42"/>
      <c r="F79" s="43"/>
      <c r="G79" s="33"/>
      <c r="H79" s="39"/>
      <c r="I79" s="39"/>
      <c r="J79" s="39"/>
      <c r="K79" s="33"/>
      <c r="L79" s="33"/>
    </row>
    <row r="80" spans="1:12" ht="13.5" customHeight="1">
      <c r="A80" s="35"/>
      <c r="B80" s="31" t="s">
        <v>41</v>
      </c>
      <c r="C80" s="42"/>
      <c r="D80" s="40"/>
      <c r="E80" s="42"/>
      <c r="F80" s="43"/>
      <c r="G80" s="33"/>
      <c r="H80" s="39"/>
      <c r="I80" s="39"/>
      <c r="J80" s="39"/>
      <c r="K80" s="33"/>
      <c r="L80" s="33"/>
    </row>
    <row r="81" spans="1:12" ht="13.5" customHeight="1">
      <c r="A81" s="47"/>
      <c r="B81" s="48"/>
      <c r="C81" s="48"/>
      <c r="D81" s="47"/>
      <c r="E81" s="48"/>
      <c r="F81" s="49"/>
      <c r="G81" s="50"/>
      <c r="H81" s="39"/>
      <c r="I81" s="39"/>
      <c r="J81" s="39"/>
      <c r="K81" s="50"/>
      <c r="L81" s="50"/>
    </row>
    <row r="82" spans="1:12">
      <c r="A82" s="47"/>
      <c r="B82" s="48"/>
      <c r="C82" s="48"/>
      <c r="D82" s="47"/>
      <c r="E82" s="48"/>
      <c r="F82" s="49"/>
      <c r="G82" s="50"/>
      <c r="H82" s="39"/>
      <c r="I82" s="39"/>
      <c r="J82" s="39"/>
      <c r="K82" s="50"/>
      <c r="L82" s="50"/>
    </row>
    <row r="83" spans="1:12">
      <c r="A83" s="47"/>
      <c r="B83" s="48"/>
      <c r="C83" s="48"/>
      <c r="D83" s="47"/>
      <c r="E83" s="48"/>
      <c r="F83" s="49"/>
      <c r="G83" s="50"/>
      <c r="H83" s="39"/>
      <c r="I83" s="39"/>
      <c r="J83" s="39"/>
      <c r="K83" s="50"/>
      <c r="L83" s="45"/>
    </row>
    <row r="84" spans="1:12">
      <c r="A84" s="30"/>
      <c r="B84" s="30"/>
      <c r="C84" s="31"/>
      <c r="D84" s="30"/>
      <c r="E84" s="31"/>
      <c r="F84" s="32"/>
      <c r="G84" s="33"/>
      <c r="H84" s="34"/>
      <c r="I84" s="34"/>
      <c r="J84" s="34"/>
      <c r="K84" s="33"/>
      <c r="L84" s="33"/>
    </row>
    <row r="85" spans="1:12">
      <c r="A85" s="35">
        <v>45854</v>
      </c>
      <c r="B85" s="36" t="s">
        <v>29</v>
      </c>
      <c r="C85" s="37" t="s">
        <v>30</v>
      </c>
      <c r="D85" s="35"/>
      <c r="E85" s="37"/>
      <c r="F85" s="38"/>
      <c r="G85" s="33"/>
      <c r="H85" s="39"/>
      <c r="I85" s="39"/>
      <c r="J85" s="39"/>
      <c r="K85" s="33"/>
      <c r="L85" s="33"/>
    </row>
    <row r="86" spans="1:12">
      <c r="A86" s="47">
        <v>45906</v>
      </c>
      <c r="B86" s="48" t="s">
        <v>41</v>
      </c>
      <c r="C86" s="37" t="s">
        <v>32</v>
      </c>
      <c r="D86" s="35" t="s">
        <v>119</v>
      </c>
      <c r="E86" s="37">
        <v>1</v>
      </c>
      <c r="F86" s="38" t="s">
        <v>36</v>
      </c>
      <c r="G86" s="50">
        <v>41000</v>
      </c>
      <c r="H86" s="39"/>
      <c r="I86" s="39"/>
      <c r="J86" s="39"/>
      <c r="K86" s="50">
        <v>41000</v>
      </c>
      <c r="L86" s="50"/>
    </row>
    <row r="87" spans="1:12">
      <c r="A87" s="35">
        <v>45907</v>
      </c>
      <c r="B87" s="152" t="s">
        <v>41</v>
      </c>
      <c r="C87" s="152" t="s">
        <v>30</v>
      </c>
      <c r="D87" s="153" t="s">
        <v>33</v>
      </c>
      <c r="E87" s="152">
        <v>400</v>
      </c>
      <c r="F87" s="154" t="s">
        <v>34</v>
      </c>
      <c r="G87" s="158">
        <v>62400</v>
      </c>
      <c r="H87" s="156"/>
      <c r="I87" s="39"/>
      <c r="J87" s="39"/>
      <c r="K87" s="33"/>
      <c r="L87" s="33"/>
    </row>
    <row r="88" spans="1:12">
      <c r="A88" s="150">
        <v>45907</v>
      </c>
      <c r="B88" s="48" t="s">
        <v>41</v>
      </c>
      <c r="C88" s="151" t="s">
        <v>31</v>
      </c>
      <c r="D88" s="47" t="s">
        <v>33</v>
      </c>
      <c r="E88" s="48">
        <v>400</v>
      </c>
      <c r="F88" s="155" t="s">
        <v>115</v>
      </c>
      <c r="G88" s="159">
        <v>143200</v>
      </c>
      <c r="H88" s="157"/>
      <c r="I88" s="51"/>
      <c r="J88" s="51"/>
      <c r="K88" s="33"/>
      <c r="L88" s="33"/>
    </row>
    <row r="89" spans="1:12">
      <c r="A89" s="47">
        <v>45907</v>
      </c>
      <c r="B89" s="48" t="s">
        <v>41</v>
      </c>
      <c r="C89" s="48" t="s">
        <v>32</v>
      </c>
      <c r="D89" s="47" t="s">
        <v>33</v>
      </c>
      <c r="E89" s="48">
        <v>2</v>
      </c>
      <c r="F89" s="155" t="s">
        <v>48</v>
      </c>
      <c r="G89" s="160">
        <v>51000</v>
      </c>
      <c r="H89" s="156"/>
      <c r="I89" s="39"/>
      <c r="J89" s="39"/>
      <c r="K89" s="50">
        <f>SUM(G87:G89)</f>
        <v>256600</v>
      </c>
      <c r="L89" s="50"/>
    </row>
    <row r="90" spans="1:12">
      <c r="A90" s="30">
        <v>45910</v>
      </c>
      <c r="B90" s="31" t="s">
        <v>41</v>
      </c>
      <c r="C90" s="31" t="s">
        <v>127</v>
      </c>
      <c r="D90" s="30" t="s">
        <v>121</v>
      </c>
      <c r="E90" s="31">
        <v>1</v>
      </c>
      <c r="F90" s="32" t="s">
        <v>128</v>
      </c>
      <c r="G90" s="45">
        <f>12000+10000</f>
        <v>22000</v>
      </c>
      <c r="H90" s="51"/>
      <c r="I90" s="51"/>
      <c r="J90" s="51"/>
      <c r="K90" s="33">
        <f>G90</f>
        <v>22000</v>
      </c>
      <c r="L90" s="33"/>
    </row>
    <row r="91" spans="1:12">
      <c r="A91" s="30">
        <v>45911</v>
      </c>
      <c r="B91" s="30" t="s">
        <v>41</v>
      </c>
      <c r="C91" s="31" t="s">
        <v>46</v>
      </c>
      <c r="D91" s="30" t="s">
        <v>44</v>
      </c>
      <c r="E91" s="31">
        <v>1</v>
      </c>
      <c r="F91" s="32" t="s">
        <v>129</v>
      </c>
      <c r="G91" s="33">
        <v>14384</v>
      </c>
      <c r="H91" s="34"/>
      <c r="I91" s="34"/>
      <c r="J91" s="34"/>
      <c r="K91" s="33"/>
      <c r="L91" s="33">
        <f>G91</f>
        <v>14384</v>
      </c>
    </row>
    <row r="92" spans="1:12">
      <c r="A92" s="30">
        <v>45911</v>
      </c>
      <c r="B92" s="31" t="s">
        <v>41</v>
      </c>
      <c r="C92" s="31" t="s">
        <v>46</v>
      </c>
      <c r="D92" s="31" t="s">
        <v>56</v>
      </c>
      <c r="E92" s="31">
        <v>1</v>
      </c>
      <c r="F92" s="32" t="s">
        <v>130</v>
      </c>
      <c r="G92" s="33">
        <v>11677.6</v>
      </c>
      <c r="H92" s="33"/>
      <c r="I92" s="33"/>
      <c r="J92" s="33"/>
      <c r="K92" s="33"/>
      <c r="L92" s="33">
        <f>G92</f>
        <v>11677.6</v>
      </c>
    </row>
    <row r="93" spans="1:12">
      <c r="A93" s="47">
        <v>45912</v>
      </c>
      <c r="B93" s="48" t="s">
        <v>41</v>
      </c>
      <c r="C93" s="31" t="s">
        <v>32</v>
      </c>
      <c r="D93" s="30" t="s">
        <v>47</v>
      </c>
      <c r="E93" s="31">
        <v>2</v>
      </c>
      <c r="F93" s="32" t="s">
        <v>48</v>
      </c>
      <c r="G93" s="50">
        <v>51000</v>
      </c>
      <c r="H93" s="39"/>
      <c r="I93" s="39"/>
      <c r="J93" s="39"/>
      <c r="K93" s="50">
        <f>SUM(G93)</f>
        <v>51000</v>
      </c>
      <c r="L93" s="50"/>
    </row>
    <row r="94" spans="1:12">
      <c r="A94" s="35">
        <v>45907</v>
      </c>
      <c r="B94" s="37" t="s">
        <v>41</v>
      </c>
      <c r="C94" s="48" t="s">
        <v>30</v>
      </c>
      <c r="D94" s="47" t="s">
        <v>33</v>
      </c>
      <c r="E94" s="48">
        <v>400</v>
      </c>
      <c r="F94" s="49" t="s">
        <v>34</v>
      </c>
      <c r="G94" s="52">
        <v>62400</v>
      </c>
      <c r="H94" s="39"/>
      <c r="I94" s="39"/>
      <c r="J94" s="39"/>
      <c r="K94" s="52"/>
      <c r="L94" s="52"/>
    </row>
    <row r="95" spans="1:12" s="149" customFormat="1">
      <c r="A95" s="145">
        <v>45907</v>
      </c>
      <c r="B95" s="48" t="s">
        <v>41</v>
      </c>
      <c r="C95" s="48" t="s">
        <v>31</v>
      </c>
      <c r="D95" s="145" t="s">
        <v>33</v>
      </c>
      <c r="E95" s="48">
        <v>400</v>
      </c>
      <c r="F95" s="146" t="s">
        <v>115</v>
      </c>
      <c r="G95" s="50">
        <v>143200</v>
      </c>
      <c r="H95" s="148"/>
      <c r="I95" s="148"/>
      <c r="J95" s="148"/>
      <c r="K95" s="147"/>
      <c r="L95" s="50"/>
    </row>
    <row r="96" spans="1:12">
      <c r="A96" s="47">
        <v>45907</v>
      </c>
      <c r="B96" s="42" t="s">
        <v>41</v>
      </c>
      <c r="C96" s="48" t="s">
        <v>31</v>
      </c>
      <c r="D96" s="47" t="s">
        <v>33</v>
      </c>
      <c r="E96" s="48">
        <v>400</v>
      </c>
      <c r="F96" s="49" t="s">
        <v>131</v>
      </c>
      <c r="G96" s="45">
        <v>143200</v>
      </c>
      <c r="H96" s="51"/>
      <c r="I96" s="51"/>
      <c r="J96" s="51"/>
      <c r="K96" s="45">
        <f>G94+G95+G96</f>
        <v>348800</v>
      </c>
      <c r="L96" s="45"/>
    </row>
    <row r="97" spans="1:54">
      <c r="A97" s="30">
        <v>45913</v>
      </c>
      <c r="B97" s="42" t="s">
        <v>41</v>
      </c>
      <c r="C97" s="31" t="s">
        <v>38</v>
      </c>
      <c r="D97" s="30" t="s">
        <v>132</v>
      </c>
      <c r="E97" s="31">
        <v>5</v>
      </c>
      <c r="F97" s="32" t="s">
        <v>133</v>
      </c>
      <c r="G97" s="33">
        <f>10000*5</f>
        <v>50000</v>
      </c>
      <c r="H97" s="34"/>
      <c r="I97" s="34"/>
      <c r="J97" s="34"/>
      <c r="K97" s="33">
        <v>0</v>
      </c>
      <c r="L97" s="33">
        <f>G97</f>
        <v>50000</v>
      </c>
    </row>
    <row r="98" spans="1:54">
      <c r="A98" s="30">
        <v>45915</v>
      </c>
      <c r="B98" s="42" t="s">
        <v>41</v>
      </c>
      <c r="C98" s="31" t="s">
        <v>135</v>
      </c>
      <c r="D98" s="30" t="s">
        <v>134</v>
      </c>
      <c r="E98" s="31">
        <v>1</v>
      </c>
      <c r="F98" s="32" t="s">
        <v>136</v>
      </c>
      <c r="G98" s="33">
        <v>12750</v>
      </c>
      <c r="H98" s="34"/>
      <c r="I98" s="34"/>
      <c r="J98" s="34"/>
      <c r="K98" s="33">
        <v>0</v>
      </c>
      <c r="L98" s="33">
        <f>G98</f>
        <v>12750</v>
      </c>
    </row>
    <row r="99" spans="1:54">
      <c r="A99" s="47">
        <v>45916</v>
      </c>
      <c r="B99" s="48" t="s">
        <v>41</v>
      </c>
      <c r="C99" s="48" t="s">
        <v>32</v>
      </c>
      <c r="D99" s="47" t="s">
        <v>119</v>
      </c>
      <c r="E99" s="48">
        <v>2</v>
      </c>
      <c r="F99" s="49" t="s">
        <v>137</v>
      </c>
      <c r="G99" s="50">
        <v>84523</v>
      </c>
      <c r="H99" s="39"/>
      <c r="I99" s="39"/>
      <c r="J99" s="39"/>
      <c r="K99" s="50">
        <f>G99</f>
        <v>84523</v>
      </c>
      <c r="L99" s="50"/>
    </row>
    <row r="100" spans="1:54">
      <c r="A100" s="47">
        <v>45916</v>
      </c>
      <c r="B100" s="48" t="s">
        <v>41</v>
      </c>
      <c r="C100" s="48" t="s">
        <v>32</v>
      </c>
      <c r="D100" s="47" t="s">
        <v>119</v>
      </c>
      <c r="E100" s="48">
        <v>4</v>
      </c>
      <c r="F100" s="49" t="s">
        <v>145</v>
      </c>
      <c r="G100" s="50">
        <v>169046</v>
      </c>
      <c r="H100" s="39"/>
      <c r="I100" s="39"/>
      <c r="J100" s="39"/>
      <c r="K100" s="50"/>
      <c r="L100" s="50">
        <f>G100</f>
        <v>169046</v>
      </c>
    </row>
    <row r="101" spans="1:54">
      <c r="A101" s="47">
        <v>45916</v>
      </c>
      <c r="B101" s="48" t="s">
        <v>41</v>
      </c>
      <c r="C101" s="31" t="s">
        <v>32</v>
      </c>
      <c r="D101" s="30" t="s">
        <v>47</v>
      </c>
      <c r="E101" s="31">
        <v>6</v>
      </c>
      <c r="F101" s="32" t="s">
        <v>138</v>
      </c>
      <c r="G101" s="50">
        <f>25000*6</f>
        <v>150000</v>
      </c>
      <c r="H101" s="39"/>
      <c r="I101" s="39"/>
      <c r="J101" s="39"/>
      <c r="K101" s="50">
        <f>SUM(G101)</f>
        <v>150000</v>
      </c>
      <c r="L101" s="50"/>
    </row>
    <row r="102" spans="1:54">
      <c r="A102" s="30">
        <v>45916</v>
      </c>
      <c r="B102" s="42" t="s">
        <v>41</v>
      </c>
      <c r="C102" s="31" t="s">
        <v>135</v>
      </c>
      <c r="D102" s="30" t="s">
        <v>139</v>
      </c>
      <c r="E102" s="31">
        <v>1</v>
      </c>
      <c r="F102" s="32" t="s">
        <v>140</v>
      </c>
      <c r="G102" s="33">
        <v>1500</v>
      </c>
      <c r="H102" s="34"/>
      <c r="I102" s="34"/>
      <c r="J102" s="34"/>
      <c r="K102" s="33">
        <f>G102</f>
        <v>1500</v>
      </c>
      <c r="L102" s="33"/>
    </row>
    <row r="103" spans="1:54">
      <c r="A103" s="40">
        <v>45917</v>
      </c>
      <c r="B103" s="31" t="s">
        <v>41</v>
      </c>
      <c r="C103" s="42" t="s">
        <v>65</v>
      </c>
      <c r="D103" s="40" t="s">
        <v>141</v>
      </c>
      <c r="E103" s="42">
        <v>600</v>
      </c>
      <c r="F103" s="43" t="s">
        <v>142</v>
      </c>
      <c r="G103" s="33">
        <v>13800</v>
      </c>
      <c r="H103" s="44"/>
      <c r="I103" s="44"/>
      <c r="J103" s="44"/>
      <c r="K103" s="33"/>
      <c r="L103" s="50">
        <v>13800</v>
      </c>
    </row>
    <row r="104" spans="1:54">
      <c r="A104" s="30">
        <v>45918</v>
      </c>
      <c r="B104" s="30" t="s">
        <v>41</v>
      </c>
      <c r="C104" s="31" t="s">
        <v>26</v>
      </c>
      <c r="D104" s="30" t="s">
        <v>42</v>
      </c>
      <c r="E104" s="31">
        <v>1</v>
      </c>
      <c r="F104" s="32" t="s">
        <v>143</v>
      </c>
      <c r="G104" s="33">
        <v>10000</v>
      </c>
      <c r="H104" s="34"/>
      <c r="I104" s="34"/>
      <c r="J104" s="34"/>
      <c r="K104" s="33"/>
      <c r="L104" s="33">
        <f>G104</f>
        <v>10000</v>
      </c>
    </row>
    <row r="105" spans="1:54">
      <c r="A105" s="30">
        <v>45918</v>
      </c>
      <c r="B105" s="46" t="s">
        <v>41</v>
      </c>
      <c r="C105" s="31" t="s">
        <v>38</v>
      </c>
      <c r="D105" s="30" t="s">
        <v>84</v>
      </c>
      <c r="E105" s="31">
        <v>10</v>
      </c>
      <c r="F105" s="32" t="s">
        <v>144</v>
      </c>
      <c r="G105" s="33">
        <f>8000*10</f>
        <v>80000</v>
      </c>
      <c r="H105" s="34"/>
      <c r="I105" s="34"/>
      <c r="J105" s="34"/>
      <c r="K105" s="33">
        <f>G105</f>
        <v>80000</v>
      </c>
      <c r="L105" s="33"/>
    </row>
    <row r="106" spans="1:54">
      <c r="A106" s="35">
        <v>45919</v>
      </c>
      <c r="B106" s="37" t="s">
        <v>41</v>
      </c>
      <c r="C106" s="48" t="s">
        <v>30</v>
      </c>
      <c r="D106" s="47" t="s">
        <v>33</v>
      </c>
      <c r="E106" s="48">
        <v>600</v>
      </c>
      <c r="F106" s="49" t="s">
        <v>34</v>
      </c>
      <c r="G106" s="52">
        <f>62400+31200</f>
        <v>93600</v>
      </c>
      <c r="H106" s="39"/>
      <c r="I106" s="39"/>
      <c r="J106" s="39"/>
      <c r="K106" s="52"/>
      <c r="L106" s="52"/>
    </row>
    <row r="107" spans="1:54" s="149" customFormat="1">
      <c r="A107" s="145">
        <v>45919</v>
      </c>
      <c r="B107" s="48" t="s">
        <v>41</v>
      </c>
      <c r="C107" s="48" t="s">
        <v>31</v>
      </c>
      <c r="D107" s="145" t="s">
        <v>33</v>
      </c>
      <c r="E107" s="48">
        <v>400</v>
      </c>
      <c r="F107" s="146" t="s">
        <v>115</v>
      </c>
      <c r="G107" s="50">
        <v>143200</v>
      </c>
      <c r="H107" s="148"/>
      <c r="I107" s="148"/>
      <c r="J107" s="148"/>
      <c r="K107" s="147"/>
      <c r="L107" s="50">
        <f>G106+G107</f>
        <v>236800</v>
      </c>
    </row>
    <row r="108" spans="1:54">
      <c r="A108" s="47">
        <v>45918</v>
      </c>
      <c r="B108" s="48" t="s">
        <v>41</v>
      </c>
      <c r="C108" s="48" t="s">
        <v>32</v>
      </c>
      <c r="D108" s="47" t="s">
        <v>119</v>
      </c>
      <c r="E108" s="48">
        <v>3</v>
      </c>
      <c r="F108" s="49" t="s">
        <v>146</v>
      </c>
      <c r="G108" s="50">
        <f>42261.5*3</f>
        <v>126784.5</v>
      </c>
      <c r="H108" s="39"/>
      <c r="I108" s="39"/>
      <c r="J108" s="39"/>
      <c r="K108" s="50">
        <f>G108</f>
        <v>126784.5</v>
      </c>
      <c r="L108" s="50">
        <v>0</v>
      </c>
    </row>
    <row r="109" spans="1:54" s="165" customFormat="1">
      <c r="A109" s="161">
        <v>45919</v>
      </c>
      <c r="B109" s="161" t="s">
        <v>41</v>
      </c>
      <c r="C109" s="162" t="s">
        <v>147</v>
      </c>
      <c r="D109" s="161" t="s">
        <v>147</v>
      </c>
      <c r="E109" s="162">
        <v>1</v>
      </c>
      <c r="F109" s="163" t="s">
        <v>148</v>
      </c>
      <c r="G109" s="164">
        <f>8925.94+415.87+2079.59</f>
        <v>11421.400000000001</v>
      </c>
      <c r="H109" s="164"/>
      <c r="I109" s="164"/>
      <c r="J109" s="164"/>
      <c r="K109" s="164">
        <v>0</v>
      </c>
      <c r="L109" s="164"/>
      <c r="M109" s="166">
        <f>G109</f>
        <v>11421.400000000001</v>
      </c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167"/>
      <c r="AY109" s="167"/>
      <c r="AZ109" s="167"/>
      <c r="BA109" s="167"/>
      <c r="BB109" s="167"/>
    </row>
    <row r="110" spans="1:54">
      <c r="A110" s="30">
        <v>45922</v>
      </c>
      <c r="B110" s="31" t="s">
        <v>41</v>
      </c>
      <c r="C110" s="31" t="s">
        <v>58</v>
      </c>
      <c r="D110" s="31" t="s">
        <v>59</v>
      </c>
      <c r="E110" s="31"/>
      <c r="F110" s="32" t="s">
        <v>150</v>
      </c>
      <c r="G110" s="33">
        <v>16000</v>
      </c>
      <c r="H110" s="33"/>
      <c r="I110" s="33"/>
      <c r="J110" s="33"/>
      <c r="K110" s="33"/>
      <c r="L110" s="33">
        <f>G110</f>
        <v>16000</v>
      </c>
    </row>
    <row r="111" spans="1:54">
      <c r="A111" s="66">
        <v>45922</v>
      </c>
      <c r="B111" s="66" t="s">
        <v>41</v>
      </c>
      <c r="C111" s="67" t="s">
        <v>62</v>
      </c>
      <c r="D111" s="66" t="s">
        <v>105</v>
      </c>
      <c r="E111" s="67"/>
      <c r="F111" s="68" t="s">
        <v>64</v>
      </c>
      <c r="G111" s="34">
        <v>7000</v>
      </c>
      <c r="H111" s="34"/>
      <c r="I111" s="34"/>
      <c r="J111" s="34"/>
      <c r="K111" s="34">
        <v>7000</v>
      </c>
      <c r="L111" s="34"/>
    </row>
    <row r="112" spans="1:54">
      <c r="A112" s="47">
        <v>45924</v>
      </c>
      <c r="B112" s="48" t="s">
        <v>41</v>
      </c>
      <c r="C112" s="31" t="s">
        <v>32</v>
      </c>
      <c r="D112" s="30" t="s">
        <v>47</v>
      </c>
      <c r="E112" s="31">
        <v>4</v>
      </c>
      <c r="F112" s="32" t="s">
        <v>151</v>
      </c>
      <c r="G112" s="50">
        <f>25000*4</f>
        <v>100000</v>
      </c>
      <c r="H112" s="39"/>
      <c r="I112" s="39"/>
      <c r="J112" s="39"/>
      <c r="K112" s="50">
        <f>SUM(G112)</f>
        <v>100000</v>
      </c>
      <c r="L112" s="50"/>
    </row>
    <row r="113" spans="1:54">
      <c r="A113" s="35">
        <v>45926</v>
      </c>
      <c r="B113" s="37" t="s">
        <v>41</v>
      </c>
      <c r="C113" s="48" t="s">
        <v>30</v>
      </c>
      <c r="D113" s="47" t="s">
        <v>33</v>
      </c>
      <c r="E113" s="48">
        <v>1200</v>
      </c>
      <c r="F113" s="49" t="s">
        <v>152</v>
      </c>
      <c r="G113" s="52">
        <f>62400*3</f>
        <v>187200</v>
      </c>
      <c r="H113" s="39"/>
      <c r="I113" s="39"/>
      <c r="J113" s="39"/>
      <c r="K113" s="52"/>
      <c r="L113" s="52"/>
    </row>
    <row r="114" spans="1:54" s="149" customFormat="1">
      <c r="A114" s="145">
        <v>45926</v>
      </c>
      <c r="B114" s="48" t="s">
        <v>41</v>
      </c>
      <c r="C114" s="48" t="s">
        <v>31</v>
      </c>
      <c r="D114" s="145" t="s">
        <v>33</v>
      </c>
      <c r="E114" s="48">
        <v>2000</v>
      </c>
      <c r="F114" s="146" t="s">
        <v>153</v>
      </c>
      <c r="G114" s="50">
        <f>143200*5</f>
        <v>716000</v>
      </c>
      <c r="H114" s="148"/>
      <c r="I114" s="148"/>
      <c r="J114" s="148"/>
      <c r="K114" s="147">
        <f>G113+G114-25000-62400</f>
        <v>815800</v>
      </c>
      <c r="L114" s="50"/>
    </row>
    <row r="115" spans="1:54">
      <c r="A115" s="40">
        <v>45929</v>
      </c>
      <c r="B115" s="31" t="s">
        <v>41</v>
      </c>
      <c r="C115" s="40" t="s">
        <v>106</v>
      </c>
      <c r="D115" s="40" t="s">
        <v>106</v>
      </c>
      <c r="E115" s="42">
        <v>2</v>
      </c>
      <c r="F115" s="43" t="s">
        <v>154</v>
      </c>
      <c r="G115" s="33">
        <f>30000*2</f>
        <v>60000</v>
      </c>
      <c r="H115" s="44"/>
      <c r="I115" s="44"/>
      <c r="J115" s="44"/>
      <c r="K115" s="33">
        <f>G115</f>
        <v>60000</v>
      </c>
      <c r="L115" s="40"/>
    </row>
    <row r="116" spans="1:54" s="165" customFormat="1" ht="15" thickBot="1">
      <c r="A116" s="161">
        <v>45930</v>
      </c>
      <c r="B116" s="161" t="s">
        <v>41</v>
      </c>
      <c r="C116" s="162" t="s">
        <v>147</v>
      </c>
      <c r="D116" s="161" t="s">
        <v>147</v>
      </c>
      <c r="E116" s="162">
        <v>1</v>
      </c>
      <c r="F116" s="163" t="s">
        <v>155</v>
      </c>
      <c r="G116" s="164">
        <f>20677+4894.54+7415.75+15750</f>
        <v>48737.29</v>
      </c>
      <c r="H116" s="164"/>
      <c r="I116" s="164"/>
      <c r="J116" s="164"/>
      <c r="K116" s="164">
        <v>0</v>
      </c>
      <c r="L116" s="164"/>
      <c r="M116" s="166">
        <f>G116</f>
        <v>48737.29</v>
      </c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</row>
    <row r="117" spans="1:54">
      <c r="A117" s="103">
        <v>45930</v>
      </c>
      <c r="B117" s="104" t="s">
        <v>41</v>
      </c>
      <c r="C117" s="105" t="s">
        <v>88</v>
      </c>
      <c r="D117" s="104" t="s">
        <v>89</v>
      </c>
      <c r="E117" s="105"/>
      <c r="F117" s="106" t="s">
        <v>156</v>
      </c>
      <c r="G117" s="107">
        <v>1300000</v>
      </c>
      <c r="H117" s="107"/>
      <c r="I117" s="107"/>
      <c r="J117" s="107"/>
      <c r="K117" s="107">
        <v>800000</v>
      </c>
      <c r="L117" s="108">
        <v>500000</v>
      </c>
    </row>
    <row r="118" spans="1:54" ht="15" thickBot="1">
      <c r="A118" s="109">
        <v>45930</v>
      </c>
      <c r="B118" s="110" t="s">
        <v>41</v>
      </c>
      <c r="C118" s="111" t="s">
        <v>88</v>
      </c>
      <c r="D118" s="110" t="s">
        <v>91</v>
      </c>
      <c r="E118" s="111"/>
      <c r="F118" s="112" t="s">
        <v>157</v>
      </c>
      <c r="G118" s="113">
        <v>1300000</v>
      </c>
      <c r="H118" s="113"/>
      <c r="I118" s="113"/>
      <c r="J118" s="113"/>
      <c r="K118" s="113">
        <v>400000</v>
      </c>
      <c r="L118" s="114">
        <v>900000</v>
      </c>
    </row>
    <row r="119" spans="1:54">
      <c r="A119" s="47">
        <v>45854</v>
      </c>
      <c r="B119" s="53" t="s">
        <v>29</v>
      </c>
      <c r="C119" s="48" t="s">
        <v>31</v>
      </c>
      <c r="D119" s="47"/>
      <c r="E119" s="48"/>
      <c r="F119" s="49"/>
      <c r="G119" s="33"/>
      <c r="H119" s="51"/>
      <c r="I119" s="51"/>
      <c r="J119" s="51"/>
      <c r="K119" s="33"/>
      <c r="L119" s="33"/>
    </row>
    <row r="120" spans="1:54">
      <c r="A120" s="40">
        <v>45854</v>
      </c>
      <c r="B120" s="41" t="s">
        <v>29</v>
      </c>
      <c r="C120" s="42" t="s">
        <v>32</v>
      </c>
      <c r="D120" s="40"/>
      <c r="E120" s="42"/>
      <c r="F120" s="43"/>
      <c r="G120" s="33"/>
      <c r="H120" s="44"/>
      <c r="I120" s="44"/>
      <c r="J120" s="44"/>
      <c r="K120" s="33"/>
      <c r="L120" s="33"/>
    </row>
    <row r="121" spans="1:54">
      <c r="A121" s="30">
        <v>45853</v>
      </c>
      <c r="B121" s="46" t="s">
        <v>29</v>
      </c>
      <c r="C121" s="31" t="s">
        <v>38</v>
      </c>
      <c r="D121" s="30"/>
      <c r="E121" s="31"/>
      <c r="F121" s="32"/>
      <c r="G121" s="33"/>
      <c r="H121" s="34"/>
      <c r="I121" s="34"/>
      <c r="J121" s="34"/>
      <c r="K121" s="33"/>
      <c r="L121" s="33"/>
    </row>
    <row r="122" spans="1:54">
      <c r="A122" s="30">
        <v>45855</v>
      </c>
      <c r="B122" s="30" t="s">
        <v>41</v>
      </c>
      <c r="C122" s="31" t="s">
        <v>26</v>
      </c>
      <c r="D122" s="30"/>
      <c r="E122" s="31"/>
      <c r="F122" s="32"/>
      <c r="G122" s="33"/>
      <c r="H122" s="34"/>
      <c r="I122" s="34"/>
      <c r="J122" s="34"/>
      <c r="K122" s="33"/>
      <c r="L122" s="33"/>
    </row>
    <row r="123" spans="1:54">
      <c r="A123" s="30">
        <v>45855</v>
      </c>
      <c r="B123" s="30" t="s">
        <v>41</v>
      </c>
      <c r="C123" s="31" t="s">
        <v>46</v>
      </c>
      <c r="D123" s="30"/>
      <c r="E123" s="31"/>
      <c r="F123" s="32"/>
      <c r="G123" s="33"/>
      <c r="H123" s="34"/>
      <c r="I123" s="34"/>
      <c r="J123" s="34"/>
      <c r="K123" s="33"/>
      <c r="L123" s="33"/>
    </row>
    <row r="124" spans="1:54">
      <c r="A124" s="30">
        <v>45856</v>
      </c>
      <c r="B124" s="30" t="s">
        <v>41</v>
      </c>
      <c r="C124" s="31" t="s">
        <v>32</v>
      </c>
      <c r="D124" s="30"/>
      <c r="E124" s="31"/>
      <c r="F124" s="32"/>
      <c r="G124" s="33"/>
      <c r="H124" s="34"/>
      <c r="I124" s="34"/>
      <c r="J124" s="34"/>
      <c r="K124" s="33"/>
      <c r="L124" s="33"/>
    </row>
    <row r="125" spans="1:54">
      <c r="A125" s="30">
        <v>45859</v>
      </c>
      <c r="B125" s="31" t="s">
        <v>41</v>
      </c>
      <c r="C125" s="31" t="s">
        <v>58</v>
      </c>
      <c r="D125" s="31"/>
      <c r="E125" s="31"/>
      <c r="F125" s="32"/>
      <c r="G125" s="33"/>
      <c r="H125" s="33"/>
      <c r="I125" s="33"/>
      <c r="J125" s="33"/>
      <c r="K125" s="33"/>
      <c r="L125" s="33"/>
    </row>
    <row r="126" spans="1:54">
      <c r="A126" s="30">
        <v>45859</v>
      </c>
      <c r="B126" s="31" t="s">
        <v>41</v>
      </c>
      <c r="C126" s="31" t="s">
        <v>46</v>
      </c>
      <c r="D126" s="31"/>
      <c r="E126" s="31"/>
      <c r="F126" s="32"/>
      <c r="G126" s="33"/>
      <c r="H126" s="33"/>
      <c r="I126" s="33"/>
      <c r="J126" s="33"/>
      <c r="K126" s="33"/>
      <c r="L126" s="33"/>
    </row>
    <row r="127" spans="1:54">
      <c r="A127" s="35">
        <v>45863</v>
      </c>
      <c r="B127" s="37" t="s">
        <v>41</v>
      </c>
      <c r="C127" s="37" t="s">
        <v>30</v>
      </c>
      <c r="D127" s="35"/>
      <c r="E127" s="37"/>
      <c r="F127" s="38"/>
      <c r="G127" s="52"/>
      <c r="H127" s="34"/>
      <c r="I127" s="34"/>
      <c r="J127" s="34"/>
      <c r="K127" s="52"/>
      <c r="L127" s="52"/>
    </row>
    <row r="128" spans="1:54">
      <c r="A128" s="47">
        <v>45863</v>
      </c>
      <c r="B128" s="48" t="s">
        <v>41</v>
      </c>
      <c r="C128" s="48" t="s">
        <v>31</v>
      </c>
      <c r="D128" s="47"/>
      <c r="E128" s="48"/>
      <c r="F128" s="49"/>
      <c r="G128" s="50"/>
      <c r="H128" s="34"/>
      <c r="I128" s="34"/>
      <c r="J128" s="34"/>
      <c r="K128" s="50"/>
      <c r="L128" s="50"/>
    </row>
    <row r="129" spans="1:12">
      <c r="A129" s="40">
        <v>45863</v>
      </c>
      <c r="B129" s="42" t="s">
        <v>41</v>
      </c>
      <c r="C129" s="42" t="s">
        <v>32</v>
      </c>
      <c r="D129" s="40"/>
      <c r="E129" s="42"/>
      <c r="F129" s="43"/>
      <c r="G129" s="45"/>
      <c r="H129" s="34"/>
      <c r="I129" s="34"/>
      <c r="J129" s="34"/>
      <c r="K129" s="45"/>
      <c r="L129" s="45"/>
    </row>
    <row r="130" spans="1:12">
      <c r="A130" s="30">
        <v>45860</v>
      </c>
      <c r="B130" s="30" t="s">
        <v>41</v>
      </c>
      <c r="C130" s="31" t="s">
        <v>32</v>
      </c>
      <c r="D130" s="30"/>
      <c r="E130" s="31"/>
      <c r="F130" s="32"/>
      <c r="G130" s="33"/>
      <c r="H130" s="34"/>
      <c r="I130" s="34"/>
      <c r="J130" s="34"/>
      <c r="K130" s="33"/>
      <c r="L130" s="33"/>
    </row>
    <row r="131" spans="1:12">
      <c r="A131" s="93">
        <v>45862</v>
      </c>
      <c r="B131" s="93" t="s">
        <v>41</v>
      </c>
      <c r="C131" s="94" t="s">
        <v>82</v>
      </c>
      <c r="D131" s="93"/>
      <c r="E131" s="94"/>
      <c r="F131" s="95"/>
      <c r="G131" s="96"/>
      <c r="H131" s="96"/>
      <c r="I131" s="96"/>
      <c r="J131" s="96"/>
      <c r="K131" s="96"/>
      <c r="L131" s="96"/>
    </row>
    <row r="132" spans="1:12">
      <c r="A132" s="30">
        <v>45863</v>
      </c>
      <c r="B132" s="46" t="s">
        <v>41</v>
      </c>
      <c r="C132" s="31" t="s">
        <v>38</v>
      </c>
      <c r="D132" s="30"/>
      <c r="E132" s="31"/>
      <c r="F132" s="32"/>
      <c r="G132" s="33"/>
      <c r="H132" s="34"/>
      <c r="I132" s="34"/>
      <c r="J132" s="34"/>
      <c r="K132" s="33"/>
      <c r="L132" s="33"/>
    </row>
    <row r="133" spans="1:12">
      <c r="A133" s="35">
        <v>45863</v>
      </c>
      <c r="B133" s="37" t="s">
        <v>41</v>
      </c>
      <c r="C133" s="37" t="s">
        <v>30</v>
      </c>
      <c r="D133" s="35"/>
      <c r="E133" s="37"/>
      <c r="F133" s="38"/>
      <c r="G133" s="52"/>
      <c r="H133" s="34"/>
      <c r="I133" s="34"/>
      <c r="J133" s="34"/>
      <c r="K133" s="52"/>
      <c r="L133" s="52"/>
    </row>
    <row r="134" spans="1:12">
      <c r="A134" s="47">
        <v>45863</v>
      </c>
      <c r="B134" s="48" t="s">
        <v>41</v>
      </c>
      <c r="C134" s="48" t="s">
        <v>31</v>
      </c>
      <c r="D134" s="47"/>
      <c r="E134" s="48"/>
      <c r="F134" s="49"/>
      <c r="G134" s="50"/>
      <c r="H134" s="34"/>
      <c r="I134" s="34"/>
      <c r="J134" s="34"/>
      <c r="K134" s="45"/>
      <c r="L134" s="45"/>
    </row>
    <row r="135" spans="1:12">
      <c r="A135" s="35">
        <v>45866</v>
      </c>
      <c r="B135" s="37" t="s">
        <v>41</v>
      </c>
      <c r="C135" s="37" t="s">
        <v>30</v>
      </c>
      <c r="D135" s="35"/>
      <c r="E135" s="37"/>
      <c r="F135" s="38"/>
      <c r="G135" s="52"/>
      <c r="H135" s="34"/>
      <c r="I135" s="34"/>
      <c r="J135" s="34"/>
      <c r="K135" s="52"/>
      <c r="L135" s="52"/>
    </row>
    <row r="136" spans="1:12" ht="15" thickBot="1">
      <c r="A136" s="47">
        <v>45866</v>
      </c>
      <c r="B136" s="48" t="s">
        <v>41</v>
      </c>
      <c r="C136" s="48" t="s">
        <v>32</v>
      </c>
      <c r="D136" s="47"/>
      <c r="E136" s="48"/>
      <c r="F136" s="49"/>
      <c r="G136" s="50"/>
      <c r="H136" s="39"/>
      <c r="I136" s="39"/>
      <c r="J136" s="39"/>
      <c r="K136" s="50"/>
      <c r="L136" s="50"/>
    </row>
    <row r="137" spans="1:12">
      <c r="A137" s="103">
        <v>45869</v>
      </c>
      <c r="B137" s="104" t="s">
        <v>41</v>
      </c>
      <c r="C137" s="105" t="s">
        <v>88</v>
      </c>
      <c r="D137" s="104"/>
      <c r="E137" s="105"/>
      <c r="F137" s="106"/>
      <c r="G137" s="107"/>
      <c r="H137" s="107"/>
      <c r="I137" s="107"/>
      <c r="J137" s="107"/>
      <c r="K137" s="107"/>
      <c r="L137" s="108"/>
    </row>
    <row r="138" spans="1:12" ht="15" thickBot="1">
      <c r="A138" s="109">
        <v>45869</v>
      </c>
      <c r="B138" s="110" t="s">
        <v>41</v>
      </c>
      <c r="C138" s="111" t="s">
        <v>88</v>
      </c>
      <c r="D138" s="110"/>
      <c r="E138" s="111"/>
      <c r="F138" s="112"/>
      <c r="G138" s="113"/>
      <c r="H138" s="113"/>
      <c r="I138" s="113"/>
      <c r="J138" s="113"/>
      <c r="K138" s="113"/>
      <c r="L138" s="114"/>
    </row>
    <row r="139" spans="1:12">
      <c r="A139" s="40"/>
      <c r="B139" s="40"/>
      <c r="C139" s="42"/>
      <c r="D139" s="40"/>
      <c r="E139" s="42"/>
      <c r="F139" s="43"/>
      <c r="G139" s="45"/>
      <c r="H139" s="44"/>
      <c r="I139" s="44"/>
      <c r="J139" s="44"/>
      <c r="K139" s="45"/>
      <c r="L139" s="102"/>
    </row>
    <row r="140" spans="1:12">
      <c r="A140" s="30"/>
      <c r="B140" s="30"/>
      <c r="C140" s="31"/>
      <c r="D140" s="30"/>
      <c r="E140" s="31"/>
      <c r="F140" s="32"/>
      <c r="G140" s="56"/>
      <c r="H140" s="34"/>
      <c r="I140" s="34"/>
      <c r="J140" s="34"/>
      <c r="K140" s="31"/>
      <c r="L140" s="26"/>
    </row>
    <row r="141" spans="1:12" ht="15" thickBot="1">
      <c r="A141" s="79" t="s">
        <v>27</v>
      </c>
      <c r="B141" s="79"/>
      <c r="C141" s="79"/>
      <c r="D141" s="79"/>
      <c r="E141" s="79"/>
      <c r="F141" s="79"/>
      <c r="G141" s="54"/>
      <c r="H141" s="55"/>
      <c r="I141" s="55"/>
      <c r="J141" s="55"/>
      <c r="K141" s="54"/>
    </row>
    <row r="142" spans="1:12">
      <c r="A142" s="30"/>
      <c r="B142" s="30"/>
      <c r="C142" s="31"/>
      <c r="D142" s="30"/>
      <c r="E142" s="31"/>
      <c r="F142" s="32"/>
      <c r="G142" s="33"/>
      <c r="H142" s="34"/>
      <c r="I142" s="34"/>
      <c r="J142" s="34"/>
      <c r="K142" s="56"/>
    </row>
    <row r="143" spans="1:12" ht="15" thickBot="1"/>
    <row r="144" spans="1:12" ht="15" thickBot="1">
      <c r="F144" s="58"/>
      <c r="G144" s="59"/>
      <c r="H144" s="60"/>
      <c r="I144" s="60"/>
      <c r="J144" s="60"/>
      <c r="K144" s="61"/>
      <c r="L144" s="61"/>
    </row>
    <row r="145" spans="2:12" ht="15" thickBot="1">
      <c r="B145" s="62"/>
      <c r="F145" s="63"/>
      <c r="G145" s="64"/>
      <c r="H145" s="65"/>
      <c r="I145" s="65"/>
      <c r="J145" s="65"/>
      <c r="K145" s="64"/>
      <c r="L145" s="64"/>
    </row>
    <row r="148" spans="2:12">
      <c r="H148" s="57">
        <f>+H145/0.105</f>
        <v>0</v>
      </c>
      <c r="I148" s="57">
        <f>+I145/0.105</f>
        <v>0</v>
      </c>
    </row>
  </sheetData>
  <mergeCells count="1">
    <mergeCell ref="K2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4B1E-1B77-48D1-A63C-2560153A8E0B}">
  <dimension ref="A1:L44"/>
  <sheetViews>
    <sheetView topLeftCell="A4" workbookViewId="0">
      <selection activeCell="E4" sqref="E4"/>
    </sheetView>
  </sheetViews>
  <sheetFormatPr baseColWidth="10" defaultRowHeight="14.25"/>
  <cols>
    <col min="1" max="1" width="13.5" customWidth="1"/>
    <col min="2" max="2" width="13.75" customWidth="1"/>
    <col min="3" max="3" width="12.375" customWidth="1"/>
    <col min="4" max="4" width="8.375" customWidth="1"/>
    <col min="5" max="5" width="18.125" customWidth="1"/>
    <col min="6" max="6" width="17.375" customWidth="1"/>
    <col min="7" max="7" width="15.625" customWidth="1"/>
    <col min="8" max="8" width="16.75" customWidth="1"/>
    <col min="9" max="9" width="6" customWidth="1"/>
    <col min="10" max="10" width="16.75" customWidth="1"/>
    <col min="11" max="11" width="17.875" customWidth="1"/>
    <col min="12" max="12" width="24.125" customWidth="1"/>
  </cols>
  <sheetData>
    <row r="1" spans="1:11" ht="20.25">
      <c r="A1" s="233" t="s">
        <v>9</v>
      </c>
      <c r="B1" s="233"/>
      <c r="C1" s="233"/>
      <c r="D1" s="233"/>
      <c r="E1" s="233"/>
      <c r="F1" s="233"/>
      <c r="G1" s="134"/>
    </row>
    <row r="2" spans="1:11" ht="21" thickBot="1">
      <c r="A2" s="168"/>
      <c r="B2" s="232" t="s">
        <v>0</v>
      </c>
      <c r="C2" s="232"/>
      <c r="D2" s="168"/>
      <c r="E2" s="236" t="s">
        <v>7</v>
      </c>
      <c r="F2" s="237"/>
      <c r="G2" s="238"/>
      <c r="H2" s="168" t="s">
        <v>3</v>
      </c>
      <c r="I2" s="15"/>
      <c r="J2" s="234" t="s">
        <v>158</v>
      </c>
      <c r="K2" s="234"/>
    </row>
    <row r="3" spans="1:11" ht="16.5" thickBot="1">
      <c r="A3" s="16" t="s">
        <v>8</v>
      </c>
      <c r="B3" s="16" t="s">
        <v>1</v>
      </c>
      <c r="C3" s="16" t="s">
        <v>2</v>
      </c>
      <c r="D3" s="16" t="s">
        <v>5</v>
      </c>
      <c r="E3" s="16" t="s">
        <v>4</v>
      </c>
      <c r="F3" s="137" t="s">
        <v>6</v>
      </c>
      <c r="G3" s="139" t="s">
        <v>123</v>
      </c>
      <c r="H3" s="138" t="s">
        <v>13</v>
      </c>
      <c r="I3" s="24"/>
    </row>
    <row r="4" spans="1:11" ht="21" customHeight="1" thickBot="1">
      <c r="A4" s="14">
        <v>45931</v>
      </c>
      <c r="B4" s="8">
        <f>6+6+6+5+2+4+2</f>
        <v>31</v>
      </c>
      <c r="C4" s="8">
        <f>6+6+6+6+2</f>
        <v>26</v>
      </c>
      <c r="D4" s="8">
        <f>3+1+2</f>
        <v>6</v>
      </c>
      <c r="E4" s="69">
        <f>15000+7200+7200+6600+2400+5400+1800</f>
        <v>45600</v>
      </c>
      <c r="F4" s="17">
        <f>4500+9000+6000</f>
        <v>19500</v>
      </c>
      <c r="G4" s="135"/>
      <c r="H4" s="20">
        <f>E4+F4</f>
        <v>65100</v>
      </c>
      <c r="I4" s="28"/>
      <c r="J4" s="11" t="s">
        <v>10</v>
      </c>
      <c r="K4" s="12">
        <f>SUMIF(F4:F31,"&gt;0")</f>
        <v>738000</v>
      </c>
    </row>
    <row r="5" spans="1:11" ht="21" customHeight="1" thickBot="1">
      <c r="A5" s="14">
        <v>45932</v>
      </c>
      <c r="B5" s="8">
        <f>6+6+4+6+3</f>
        <v>25</v>
      </c>
      <c r="C5" s="8">
        <f>4+12+3</f>
        <v>19</v>
      </c>
      <c r="D5" s="8"/>
      <c r="E5" s="69">
        <f>5400</f>
        <v>5400</v>
      </c>
      <c r="F5" s="18">
        <f>5400+8400+14400</f>
        <v>28200</v>
      </c>
      <c r="G5" s="135">
        <f>6600+8100</f>
        <v>14700</v>
      </c>
      <c r="H5" s="20">
        <f t="shared" ref="H5:H18" si="0">E5+F5</f>
        <v>33600</v>
      </c>
      <c r="I5" s="28"/>
      <c r="J5" s="11" t="s">
        <v>11</v>
      </c>
      <c r="K5" s="13">
        <f>SUMIF(E4:E31,"&gt;0")</f>
        <v>1388600</v>
      </c>
    </row>
    <row r="6" spans="1:11" ht="21" customHeight="1" thickBot="1">
      <c r="A6" s="14">
        <v>45933</v>
      </c>
      <c r="B6" s="8">
        <v>1</v>
      </c>
      <c r="C6" s="8">
        <f>4+6</f>
        <v>10</v>
      </c>
      <c r="D6" s="8"/>
      <c r="E6" s="69">
        <f>5700+7200</f>
        <v>12900</v>
      </c>
      <c r="F6" s="18"/>
      <c r="G6" s="135"/>
      <c r="H6" s="20">
        <f t="shared" si="0"/>
        <v>12900</v>
      </c>
      <c r="I6" s="28"/>
      <c r="J6" s="11" t="s">
        <v>124</v>
      </c>
      <c r="K6" s="136">
        <f>SUMIF(G4:G34,"&gt;0")</f>
        <v>580660</v>
      </c>
    </row>
    <row r="7" spans="1:11" ht="21" customHeight="1" thickBot="1">
      <c r="A7" s="14">
        <v>45934</v>
      </c>
      <c r="B7" s="8">
        <f>2+6+2+6+4+2+6+12+4</f>
        <v>44</v>
      </c>
      <c r="C7" s="8">
        <f>6+6+9+6+4+2+8+2+12+4</f>
        <v>59</v>
      </c>
      <c r="D7" s="8">
        <v>1</v>
      </c>
      <c r="E7" s="69">
        <f>7200+12600+4200+10800</f>
        <v>34800</v>
      </c>
      <c r="F7" s="19">
        <f>12600+6600+7800+13200+14400+8400</f>
        <v>63000</v>
      </c>
      <c r="G7" s="135">
        <f>9600+7800</f>
        <v>17400</v>
      </c>
      <c r="H7" s="20">
        <f t="shared" si="0"/>
        <v>97800</v>
      </c>
      <c r="I7" s="28"/>
      <c r="J7" s="179" t="s">
        <v>3</v>
      </c>
      <c r="K7" s="131">
        <f>K4+K5+K6</f>
        <v>2707260</v>
      </c>
    </row>
    <row r="8" spans="1:11" ht="21" customHeight="1" thickBot="1">
      <c r="A8" s="14">
        <v>45935</v>
      </c>
      <c r="B8" s="8">
        <f>2+12+8+12+6+12+6+24+18+2+8+4+6+6+6+12+6+2+6+6+8+9+6+6+4+2</f>
        <v>199</v>
      </c>
      <c r="C8" s="8">
        <f>2+2+6+6+6+6+7+3+8+4+4+6+4+6+6+4+6+6+2+4+9+6+6+4</f>
        <v>123</v>
      </c>
      <c r="D8" s="8">
        <f>1+3+1+1</f>
        <v>6</v>
      </c>
      <c r="E8" s="69">
        <f>6600+16200+12600+21600+3600+25800+8400+9600+12600+4200+5400+10800+6600+4800</f>
        <v>148800</v>
      </c>
      <c r="F8" s="19">
        <f>7200+10800+10800+12600+12000+12600+12600+4800+12000+18900+5400+7200+5400</f>
        <v>132300</v>
      </c>
      <c r="G8" s="136">
        <f>9600+9600+11200+8600+6600+22800+6600</f>
        <v>75000</v>
      </c>
      <c r="H8" s="20">
        <f t="shared" si="0"/>
        <v>281100</v>
      </c>
    </row>
    <row r="9" spans="1:11" ht="21" customHeight="1" thickBot="1">
      <c r="A9" s="14">
        <v>45936</v>
      </c>
      <c r="B9" s="8">
        <f>12+2+3</f>
        <v>17</v>
      </c>
      <c r="C9" s="8">
        <f>5+3+6+9</f>
        <v>23</v>
      </c>
      <c r="D9" s="8">
        <v>3</v>
      </c>
      <c r="E9" s="69">
        <f>10800+3600+3000+7200+13500</f>
        <v>38100</v>
      </c>
      <c r="F9" s="100">
        <f>7800</f>
        <v>7800</v>
      </c>
      <c r="G9" s="136"/>
      <c r="H9" s="20">
        <f t="shared" si="0"/>
        <v>45900</v>
      </c>
      <c r="J9" s="234" t="s">
        <v>14</v>
      </c>
      <c r="K9" s="234"/>
    </row>
    <row r="10" spans="1:11" ht="21" customHeight="1" thickBot="1">
      <c r="A10" s="14">
        <v>45937</v>
      </c>
      <c r="B10" s="8">
        <f>6+3+13+3+6+6+4+18</f>
        <v>59</v>
      </c>
      <c r="C10" s="8">
        <f>6+6+1+3+5+6+4+6+12</f>
        <v>49</v>
      </c>
      <c r="D10" s="8">
        <f>3+3</f>
        <v>6</v>
      </c>
      <c r="E10" s="69">
        <f>16200+6900+9900+12600+4800+5000+16200+14000</f>
        <v>85600</v>
      </c>
      <c r="F10" s="100">
        <f>7200+3600+7200</f>
        <v>18000</v>
      </c>
      <c r="G10" s="136">
        <f>12500</f>
        <v>12500</v>
      </c>
      <c r="H10" s="20">
        <f>E10+F10</f>
        <v>103600</v>
      </c>
      <c r="J10" s="27" t="s">
        <v>1</v>
      </c>
      <c r="K10" s="27" t="s">
        <v>2</v>
      </c>
    </row>
    <row r="11" spans="1:11" ht="21" customHeight="1" thickBot="1">
      <c r="A11" s="14">
        <v>45938</v>
      </c>
      <c r="B11" s="8">
        <f>6+2+1+8+4</f>
        <v>21</v>
      </c>
      <c r="C11" s="8">
        <f>2+4+4</f>
        <v>10</v>
      </c>
      <c r="D11" s="8"/>
      <c r="E11" s="69">
        <f>5400+1500+2400+900+8400</f>
        <v>18600</v>
      </c>
      <c r="F11" s="100"/>
      <c r="G11" s="136">
        <f>15200</f>
        <v>15200</v>
      </c>
      <c r="H11" s="20">
        <f t="shared" si="0"/>
        <v>18600</v>
      </c>
      <c r="J11" s="29">
        <f>SUM(B4:B33)</f>
        <v>1244</v>
      </c>
      <c r="K11" s="29">
        <f>SUM(C4:C33)</f>
        <v>1103</v>
      </c>
    </row>
    <row r="12" spans="1:11" ht="21" customHeight="1" thickBot="1">
      <c r="A12" s="14">
        <v>45939</v>
      </c>
      <c r="B12" s="8">
        <f>8+2+1+1+8+4+6+2</f>
        <v>32</v>
      </c>
      <c r="C12" s="8">
        <f>2+6+12+3+6+6+5+2</f>
        <v>42</v>
      </c>
      <c r="D12" s="8">
        <v>3</v>
      </c>
      <c r="E12" s="69">
        <f>7200+1800+17400+4000+900+7200+7200+5400+4200</f>
        <v>55300</v>
      </c>
      <c r="F12" s="100">
        <f>2400+7200+9600</f>
        <v>19200</v>
      </c>
      <c r="G12" s="136">
        <f>9600</f>
        <v>9600</v>
      </c>
      <c r="H12" s="20">
        <f t="shared" si="0"/>
        <v>74500</v>
      </c>
    </row>
    <row r="13" spans="1:11" ht="21" customHeight="1" thickBot="1">
      <c r="A13" s="14">
        <v>45940</v>
      </c>
      <c r="B13" s="8">
        <f>6+4+12+12+3+12+10+12+6</f>
        <v>77</v>
      </c>
      <c r="C13" s="8">
        <f>4+9</f>
        <v>13</v>
      </c>
      <c r="D13" s="8">
        <f>1+3+1</f>
        <v>5</v>
      </c>
      <c r="E13" s="69">
        <f>4800+10800+13800+10200+5400</f>
        <v>45000</v>
      </c>
      <c r="F13" s="100">
        <f>6600+3600+10800</f>
        <v>21000</v>
      </c>
      <c r="G13" s="136">
        <f>17700+13200</f>
        <v>30900</v>
      </c>
      <c r="H13" s="20">
        <f t="shared" si="0"/>
        <v>66000</v>
      </c>
    </row>
    <row r="14" spans="1:11" ht="21" customHeight="1" thickBot="1">
      <c r="A14" s="14">
        <v>45941</v>
      </c>
      <c r="B14" s="8">
        <f>6+6+6+6+6+3+5</f>
        <v>38</v>
      </c>
      <c r="C14" s="8">
        <f>12+6+4+6+6+2+10+12+9+6+1</f>
        <v>74</v>
      </c>
      <c r="D14" s="8">
        <f>3+1</f>
        <v>4</v>
      </c>
      <c r="E14" s="69">
        <f>8500+4800+7200+2400+12000+19800</f>
        <v>54700</v>
      </c>
      <c r="F14" s="100">
        <f>14400+5400+5700</f>
        <v>25500</v>
      </c>
      <c r="G14" s="136">
        <f>9600+17400+6600+17700+9600</f>
        <v>60900</v>
      </c>
      <c r="H14" s="20">
        <f t="shared" si="0"/>
        <v>80200</v>
      </c>
      <c r="J14" s="97"/>
    </row>
    <row r="15" spans="1:11" ht="21" customHeight="1" thickBot="1">
      <c r="A15" s="14">
        <v>45942</v>
      </c>
      <c r="B15" s="8">
        <f>6+1+6+1+4+12+3+6+6+6+2+6+3+3+6+4+1+10+1+2+4+4+4+7+6</f>
        <v>114</v>
      </c>
      <c r="C15" s="8">
        <f>2+6+7+4+6+12+3+3+6+2+2+6+3+3+5+5+2+6+4+12+7+4+8+8+8+13+6</f>
        <v>153</v>
      </c>
      <c r="D15" s="8">
        <f>1+2+3+3</f>
        <v>9</v>
      </c>
      <c r="E15" s="69">
        <f>5400+3300+7200+6300+6000+12600+9800+9000+6000+3600+6900+11400+900+6600+16200+13200+13200+21900+7200</f>
        <v>166700</v>
      </c>
      <c r="F15" s="19">
        <f>9300+9600+5400+5400+4200+9900+6300+7200+14400+8400+8400</f>
        <v>88500</v>
      </c>
      <c r="G15" s="136">
        <f>16200+13200+19200+6400</f>
        <v>55000</v>
      </c>
      <c r="H15" s="20">
        <f t="shared" si="0"/>
        <v>255200</v>
      </c>
    </row>
    <row r="16" spans="1:11" ht="21" customHeight="1" thickBot="1">
      <c r="A16" s="14">
        <v>45943</v>
      </c>
      <c r="B16" s="8">
        <f>6+2+8+4+12+4+1+1+4+6+6+4+3+3</f>
        <v>64</v>
      </c>
      <c r="C16" s="8">
        <f>4+1+2+3+4+1</f>
        <v>15</v>
      </c>
      <c r="D16" s="8">
        <v>1</v>
      </c>
      <c r="E16" s="69">
        <f>1800+7200+3600+3600+2100+4500+3600+3600+5400+5400+2700</f>
        <v>43500</v>
      </c>
      <c r="F16" s="19">
        <f>5400+4800+10800+8400+3900</f>
        <v>33300</v>
      </c>
      <c r="G16" s="136"/>
      <c r="H16" s="20">
        <f t="shared" si="0"/>
        <v>76800</v>
      </c>
    </row>
    <row r="17" spans="1:12" ht="21" customHeight="1" thickBot="1">
      <c r="A17" s="14">
        <v>45944</v>
      </c>
      <c r="B17" s="8">
        <f>3+4+8+8+6</f>
        <v>29</v>
      </c>
      <c r="C17" s="8">
        <f>3+4+2</f>
        <v>9</v>
      </c>
      <c r="D17" s="8">
        <v>1</v>
      </c>
      <c r="E17" s="69">
        <f>6300+3700+8400+12000+2400</f>
        <v>32800</v>
      </c>
      <c r="F17" s="19">
        <f>5400</f>
        <v>5400</v>
      </c>
      <c r="G17" s="136"/>
      <c r="H17" s="20">
        <f t="shared" si="0"/>
        <v>38200</v>
      </c>
      <c r="L17" s="131"/>
    </row>
    <row r="18" spans="1:12" ht="21" customHeight="1" thickBot="1">
      <c r="A18" s="14">
        <v>45945</v>
      </c>
      <c r="B18" s="8">
        <f>8+6+4</f>
        <v>18</v>
      </c>
      <c r="C18" s="8">
        <f>4+6+6+6</f>
        <v>22</v>
      </c>
      <c r="D18" s="8"/>
      <c r="E18" s="69">
        <f>4800+7200</f>
        <v>12000</v>
      </c>
      <c r="F18" s="19">
        <f>7200+10800</f>
        <v>18000</v>
      </c>
      <c r="G18" s="136">
        <f>16200</f>
        <v>16200</v>
      </c>
      <c r="H18" s="20">
        <f t="shared" si="0"/>
        <v>30000</v>
      </c>
    </row>
    <row r="19" spans="1:12" ht="21" customHeight="1" thickBot="1">
      <c r="A19" s="14">
        <v>45946</v>
      </c>
      <c r="B19" s="8">
        <f>12+2+12+4+12+1+2</f>
        <v>45</v>
      </c>
      <c r="C19" s="8">
        <f>6+1+1+2+3+3</f>
        <v>16</v>
      </c>
      <c r="D19" s="8">
        <f>3+3</f>
        <v>6</v>
      </c>
      <c r="E19" s="69">
        <f>18200+3000+1200+10800+6600+3300+1800+3600</f>
        <v>48500</v>
      </c>
      <c r="F19" s="19">
        <f>10800+7800</f>
        <v>18600</v>
      </c>
      <c r="G19" s="136"/>
      <c r="H19" s="20">
        <f>E19+F19</f>
        <v>67100</v>
      </c>
    </row>
    <row r="20" spans="1:12" ht="21" customHeight="1" thickBot="1">
      <c r="A20" s="14">
        <v>45947</v>
      </c>
      <c r="B20" s="8">
        <f>10+4+4</f>
        <v>18</v>
      </c>
      <c r="C20" s="8">
        <f>10+6+4+6</f>
        <v>26</v>
      </c>
      <c r="D20" s="8"/>
      <c r="E20" s="69">
        <f>12000+9000+7200+8400+3600</f>
        <v>40200</v>
      </c>
      <c r="F20" s="19">
        <f>7200</f>
        <v>7200</v>
      </c>
      <c r="G20" s="136"/>
      <c r="H20" s="20">
        <f>E20+F20</f>
        <v>47400</v>
      </c>
    </row>
    <row r="21" spans="1:12" ht="21" customHeight="1" thickBot="1">
      <c r="A21" s="14">
        <v>45948</v>
      </c>
      <c r="B21" s="8">
        <f>4+6+2</f>
        <v>12</v>
      </c>
      <c r="C21" s="8">
        <f>6+3+4+9+6+3+4+24+4+6</f>
        <v>69</v>
      </c>
      <c r="D21" s="8">
        <f>3</f>
        <v>3</v>
      </c>
      <c r="E21" s="69">
        <f>9600+3600+3600+14400+3000+6600+28800+4800</f>
        <v>74400</v>
      </c>
      <c r="F21" s="19">
        <f>4800+3600+7200</f>
        <v>15600</v>
      </c>
      <c r="G21" s="136">
        <f>16200</f>
        <v>16200</v>
      </c>
      <c r="H21" s="20">
        <f t="shared" ref="H21:H29" si="1">E21+F21</f>
        <v>90000</v>
      </c>
    </row>
    <row r="22" spans="1:12" ht="21" customHeight="1" thickBot="1">
      <c r="A22" s="14">
        <v>45949</v>
      </c>
      <c r="B22" s="8">
        <f>3+2+2+6+12+2</f>
        <v>27</v>
      </c>
      <c r="C22" s="8">
        <f>4+4+10+2+4+6+5</f>
        <v>35</v>
      </c>
      <c r="D22" s="8">
        <f>3+3</f>
        <v>6</v>
      </c>
      <c r="E22" s="69">
        <f>6600+12000+4200+8400+4800+10000</f>
        <v>46000</v>
      </c>
      <c r="F22" s="19"/>
      <c r="G22" s="136">
        <f>9700+13200+10200</f>
        <v>33100</v>
      </c>
      <c r="H22" s="20">
        <f t="shared" si="1"/>
        <v>46000</v>
      </c>
    </row>
    <row r="23" spans="1:12" ht="21" customHeight="1" thickBot="1">
      <c r="A23" s="14">
        <v>45950</v>
      </c>
      <c r="B23" s="8">
        <f>8+2+4+2</f>
        <v>16</v>
      </c>
      <c r="C23" s="8">
        <f>4+4</f>
        <v>8</v>
      </c>
      <c r="D23" s="8"/>
      <c r="E23" s="69">
        <f>7200+6600</f>
        <v>13800</v>
      </c>
      <c r="F23" s="19">
        <f>6600+3600</f>
        <v>10200</v>
      </c>
      <c r="G23" s="136"/>
      <c r="H23" s="20">
        <f t="shared" si="1"/>
        <v>24000</v>
      </c>
    </row>
    <row r="24" spans="1:12" ht="21" customHeight="1" thickBot="1">
      <c r="A24" s="14">
        <v>45951</v>
      </c>
      <c r="B24" s="8">
        <f>8</f>
        <v>8</v>
      </c>
      <c r="C24" s="8">
        <f>4+7</f>
        <v>11</v>
      </c>
      <c r="D24" s="8">
        <f>3</f>
        <v>3</v>
      </c>
      <c r="E24" s="69">
        <f>4800+7200</f>
        <v>12000</v>
      </c>
      <c r="F24" s="19">
        <f>8400+3000</f>
        <v>11400</v>
      </c>
      <c r="G24" s="136"/>
      <c r="H24" s="20">
        <f t="shared" si="1"/>
        <v>23400</v>
      </c>
    </row>
    <row r="25" spans="1:12" ht="21" customHeight="1" thickBot="1">
      <c r="A25" s="14">
        <v>45952</v>
      </c>
      <c r="B25" s="8">
        <f>4+4+6+2+6+3+6</f>
        <v>31</v>
      </c>
      <c r="C25" s="8">
        <f>4+1+4+4</f>
        <v>13</v>
      </c>
      <c r="D25" s="8">
        <f>3</f>
        <v>3</v>
      </c>
      <c r="E25" s="69">
        <f>8400+4800+5400+5400</f>
        <v>24000</v>
      </c>
      <c r="F25" s="19">
        <f>5400+6600+10500</f>
        <v>22500</v>
      </c>
      <c r="G25" s="136"/>
      <c r="H25" s="20">
        <f t="shared" si="1"/>
        <v>46500</v>
      </c>
    </row>
    <row r="26" spans="1:12" ht="21" customHeight="1" thickBot="1">
      <c r="A26" s="14">
        <v>45953</v>
      </c>
      <c r="B26" s="8">
        <f>4</f>
        <v>4</v>
      </c>
      <c r="C26" s="8">
        <f>4+6+4+8</f>
        <v>22</v>
      </c>
      <c r="D26" s="8"/>
      <c r="E26" s="69">
        <f>8400+7200+4800+9600</f>
        <v>30000</v>
      </c>
      <c r="F26" s="19"/>
      <c r="G26" s="136"/>
      <c r="H26" s="20">
        <f t="shared" si="1"/>
        <v>30000</v>
      </c>
    </row>
    <row r="27" spans="1:12" ht="21" customHeight="1" thickBot="1">
      <c r="A27" s="14">
        <v>45954</v>
      </c>
      <c r="B27" s="8">
        <f>9+1</f>
        <v>10</v>
      </c>
      <c r="C27" s="8">
        <f>3+6+2+2</f>
        <v>13</v>
      </c>
      <c r="D27" s="8">
        <v>3</v>
      </c>
      <c r="E27" s="69">
        <f>3600+11000+2400+3300</f>
        <v>20300</v>
      </c>
      <c r="F27" s="19">
        <v>7200</v>
      </c>
      <c r="G27" s="136"/>
      <c r="H27" s="20">
        <f t="shared" si="1"/>
        <v>27500</v>
      </c>
    </row>
    <row r="28" spans="1:12" ht="21" customHeight="1" thickBot="1">
      <c r="A28" s="14">
        <v>45955</v>
      </c>
      <c r="B28" s="8">
        <f>6+6+10+12+4+8+4+9+5</f>
        <v>64</v>
      </c>
      <c r="C28" s="8">
        <f>3+6+6+8+4+8+1</f>
        <v>36</v>
      </c>
      <c r="D28" s="8">
        <f>6+3</f>
        <v>9</v>
      </c>
      <c r="E28" s="69">
        <f>6000+3600+16800+10500+4800+19200</f>
        <v>60900</v>
      </c>
      <c r="F28" s="19">
        <f>15600+10800+9600+4800+4800+9600</f>
        <v>55200</v>
      </c>
      <c r="G28" s="136">
        <f>5700+13000+28800</f>
        <v>47500</v>
      </c>
      <c r="H28" s="20">
        <f t="shared" si="1"/>
        <v>116100</v>
      </c>
    </row>
    <row r="29" spans="1:12" ht="21" customHeight="1" thickBot="1">
      <c r="A29" s="14">
        <v>45956</v>
      </c>
      <c r="B29" s="8">
        <f>6+10+14+6+6+6+6+8+6+6+2+2+12+9+8+3+4+4+2+4+6</f>
        <v>130</v>
      </c>
      <c r="C29" s="8">
        <f>6+4+6+6+12+12+6+6+4+4+12+4+12+2+4+6+2+4+4+12+6</f>
        <v>134</v>
      </c>
      <c r="D29" s="8">
        <f>1+9+1+1+1+4</f>
        <v>17</v>
      </c>
      <c r="E29" s="69">
        <f>10200+17400+12600+15000+7200+13800+6600+6600+25200+4800+8100+22800+9600+9000+8400+4200+1600</f>
        <v>183100</v>
      </c>
      <c r="F29" s="19">
        <f>12600+9000+5400+7200+7200+5400+3600</f>
        <v>50400</v>
      </c>
      <c r="G29" s="136">
        <f>19200+22800+19200+7800+7700+11800+22800+11400</f>
        <v>122700</v>
      </c>
      <c r="H29" s="20">
        <f t="shared" si="1"/>
        <v>233500</v>
      </c>
    </row>
    <row r="30" spans="1:12" ht="21" customHeight="1" thickBot="1">
      <c r="A30" s="14">
        <v>45957</v>
      </c>
      <c r="B30" s="8">
        <f>6+6+6+2</f>
        <v>20</v>
      </c>
      <c r="C30" s="8">
        <f>2+6+2+2</f>
        <v>12</v>
      </c>
      <c r="D30" s="8"/>
      <c r="E30" s="69">
        <f>7800+4200+2000</f>
        <v>14000</v>
      </c>
      <c r="F30" s="19">
        <f>5400+12600+2400</f>
        <v>20400</v>
      </c>
      <c r="G30" s="136"/>
      <c r="H30" s="20">
        <f>E30+F30</f>
        <v>34400</v>
      </c>
    </row>
    <row r="31" spans="1:12" ht="21" customHeight="1" thickBot="1">
      <c r="A31" s="14">
        <v>45958</v>
      </c>
      <c r="B31" s="8">
        <f>6+3+12+2+24+1+1+3</f>
        <v>52</v>
      </c>
      <c r="C31" s="8">
        <f>8+1+6+1+2+2+2+6+2</f>
        <v>30</v>
      </c>
      <c r="D31" s="8"/>
      <c r="E31" s="69">
        <f>5400+9600+4200+2400</f>
        <v>21600</v>
      </c>
      <c r="F31" s="19">
        <f>3900+7200+12000+3300+8100+5100</f>
        <v>39600</v>
      </c>
      <c r="G31" s="136">
        <f>28080</f>
        <v>28080</v>
      </c>
      <c r="H31" s="20">
        <f>E31+F31</f>
        <v>61200</v>
      </c>
    </row>
    <row r="32" spans="1:12" ht="21" customHeight="1" thickBot="1">
      <c r="A32" s="14">
        <v>45959</v>
      </c>
      <c r="B32" s="8">
        <f>3+3+1</f>
        <v>7</v>
      </c>
      <c r="C32" s="8">
        <f>2+3+4+2</f>
        <v>11</v>
      </c>
      <c r="D32" s="8">
        <f>1</f>
        <v>1</v>
      </c>
      <c r="E32" s="69">
        <f>6300+900</f>
        <v>7200</v>
      </c>
      <c r="F32" s="19">
        <f>6000+2400</f>
        <v>8400</v>
      </c>
      <c r="G32" s="136">
        <f>6960</f>
        <v>6960</v>
      </c>
      <c r="H32" s="20">
        <f>E32+F32</f>
        <v>15600</v>
      </c>
    </row>
    <row r="33" spans="1:8" ht="21" customHeight="1" thickBot="1">
      <c r="A33" s="14">
        <v>45960</v>
      </c>
      <c r="B33" s="8">
        <f>4+10+4+4+3+6</f>
        <v>31</v>
      </c>
      <c r="C33" s="8">
        <f>4+8+2+6</f>
        <v>20</v>
      </c>
      <c r="D33" s="8">
        <f>3+3</f>
        <v>6</v>
      </c>
      <c r="E33" s="69">
        <f>13200+3000</f>
        <v>16200</v>
      </c>
      <c r="F33" s="19">
        <f>4800+6000+3600+12900</f>
        <v>27300</v>
      </c>
      <c r="G33" s="136">
        <f>11700+7020</f>
        <v>18720</v>
      </c>
      <c r="H33" s="20">
        <f>E33+F33</f>
        <v>43500</v>
      </c>
    </row>
    <row r="34" spans="1:8" ht="21" customHeight="1" thickBot="1">
      <c r="A34" s="14">
        <v>45961</v>
      </c>
      <c r="B34" s="8">
        <f>6+12</f>
        <v>18</v>
      </c>
      <c r="C34" s="8"/>
      <c r="D34" s="8"/>
      <c r="E34" s="69">
        <f>5400+11000</f>
        <v>16400</v>
      </c>
      <c r="F34" s="19"/>
      <c r="G34" s="136"/>
      <c r="H34" s="20">
        <f>E34+F34</f>
        <v>16400</v>
      </c>
    </row>
    <row r="35" spans="1:8" ht="21" customHeight="1">
      <c r="A35" s="14"/>
      <c r="B35" s="9"/>
      <c r="C35" s="9"/>
      <c r="D35" s="9"/>
      <c r="E35" s="9"/>
      <c r="F35" s="9"/>
      <c r="G35" s="9"/>
    </row>
    <row r="36" spans="1:8" ht="21" customHeight="1">
      <c r="A36" s="14"/>
      <c r="B36" s="9"/>
      <c r="C36" s="9"/>
      <c r="D36" s="9"/>
      <c r="E36" s="9"/>
      <c r="F36" s="9"/>
      <c r="G36" s="9"/>
    </row>
    <row r="37" spans="1:8" ht="21" customHeight="1">
      <c r="A37" s="14"/>
      <c r="B37" s="9"/>
      <c r="C37" s="9"/>
      <c r="D37" s="9"/>
      <c r="E37" s="9"/>
      <c r="F37" s="9"/>
      <c r="G37" s="9"/>
    </row>
    <row r="38" spans="1:8" ht="21" customHeight="1">
      <c r="A38" s="14"/>
      <c r="B38" s="9"/>
      <c r="C38" s="9"/>
      <c r="D38" s="9"/>
      <c r="E38" s="9"/>
      <c r="F38" s="9"/>
      <c r="G38" s="9"/>
    </row>
    <row r="39" spans="1:8" ht="21" customHeight="1">
      <c r="A39" s="14"/>
      <c r="B39" s="9"/>
      <c r="C39" s="9"/>
      <c r="D39" s="9"/>
      <c r="E39" s="9"/>
      <c r="F39" s="9"/>
      <c r="G39" s="9"/>
    </row>
    <row r="40" spans="1:8" ht="21" customHeight="1">
      <c r="A40" s="14"/>
      <c r="B40" s="9"/>
      <c r="C40" s="9"/>
      <c r="D40" s="9"/>
      <c r="E40" s="9"/>
      <c r="F40" s="9"/>
      <c r="G40" s="9"/>
    </row>
    <row r="41" spans="1:8" ht="21" customHeight="1">
      <c r="A41" s="9"/>
      <c r="B41" s="9"/>
      <c r="C41" s="9"/>
      <c r="D41" s="9"/>
      <c r="E41" s="9"/>
      <c r="F41" s="9"/>
      <c r="G41" s="9"/>
    </row>
    <row r="42" spans="1:8" ht="20.25">
      <c r="A42" s="7"/>
      <c r="B42" s="7"/>
      <c r="C42" s="7"/>
      <c r="D42" s="7"/>
      <c r="E42" s="7"/>
      <c r="F42" s="7"/>
      <c r="G42" s="7"/>
    </row>
    <row r="43" spans="1:8" ht="20.25">
      <c r="A43" s="7"/>
      <c r="B43" s="7"/>
      <c r="C43" s="7"/>
      <c r="D43" s="7"/>
      <c r="E43" s="7"/>
      <c r="F43" s="7"/>
      <c r="G43" s="7"/>
    </row>
    <row r="44" spans="1:8" ht="20.25">
      <c r="A44" s="7"/>
      <c r="B44" s="7"/>
      <c r="C44" s="7"/>
      <c r="D44" s="7"/>
      <c r="E44" s="7"/>
      <c r="F44" s="7"/>
      <c r="G44" s="7"/>
    </row>
  </sheetData>
  <mergeCells count="5">
    <mergeCell ref="A1:F1"/>
    <mergeCell ref="B2:C2"/>
    <mergeCell ref="E2:G2"/>
    <mergeCell ref="J2:K2"/>
    <mergeCell ref="J9:K9"/>
  </mergeCells>
  <pageMargins left="0.7" right="0.7" top="0.75" bottom="0.75" header="0.3" footer="0.3"/>
  <pageSetup orientation="portrait" copies="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B7D4-D33D-4CE7-B978-F68C62BAA50C}">
  <dimension ref="A1:BB197"/>
  <sheetViews>
    <sheetView topLeftCell="D1" zoomScaleNormal="100" workbookViewId="0">
      <pane ySplit="3" topLeftCell="A13" activePane="bottomLeft" state="frozen"/>
      <selection activeCell="F39" sqref="F39"/>
      <selection pane="bottomLeft" activeCell="A18" sqref="A18:XFD18"/>
    </sheetView>
  </sheetViews>
  <sheetFormatPr baseColWidth="10" defaultRowHeight="14.25"/>
  <cols>
    <col min="1" max="1" width="11" style="25"/>
    <col min="2" max="2" width="9.375" style="25" customWidth="1"/>
    <col min="3" max="3" width="19" style="25" customWidth="1"/>
    <col min="4" max="4" width="32.125" style="25" customWidth="1"/>
    <col min="5" max="5" width="10.125" style="25" customWidth="1"/>
    <col min="6" max="6" width="72.875" style="25" customWidth="1"/>
    <col min="7" max="7" width="13.75" style="25" customWidth="1"/>
    <col min="8" max="8" width="15.25" style="57" hidden="1" customWidth="1"/>
    <col min="9" max="9" width="15.625" style="57" hidden="1" customWidth="1"/>
    <col min="10" max="10" width="13.25" style="57" hidden="1" customWidth="1"/>
    <col min="11" max="11" width="15.625" style="25" customWidth="1"/>
    <col min="12" max="12" width="16.375" bestFit="1" customWidth="1"/>
    <col min="13" max="13" width="14.5" customWidth="1"/>
    <col min="14" max="14" width="13.25" customWidth="1"/>
  </cols>
  <sheetData>
    <row r="1" spans="1:54" s="85" customFormat="1">
      <c r="A1" s="80" t="s">
        <v>15</v>
      </c>
      <c r="B1" s="81"/>
      <c r="C1" s="81"/>
      <c r="D1" s="81"/>
      <c r="E1" s="81"/>
      <c r="F1" s="81"/>
      <c r="G1" s="81"/>
      <c r="H1" s="82"/>
      <c r="I1" s="82"/>
      <c r="J1" s="82"/>
      <c r="K1" s="83"/>
      <c r="L1" s="84"/>
      <c r="M1" s="84"/>
    </row>
    <row r="2" spans="1:54" s="85" customFormat="1">
      <c r="A2" s="86"/>
      <c r="B2" s="87"/>
      <c r="C2" s="87"/>
      <c r="D2" s="87"/>
      <c r="E2" s="87"/>
      <c r="F2" s="87"/>
      <c r="G2" s="87"/>
      <c r="H2" s="88"/>
      <c r="I2" s="88"/>
      <c r="J2" s="88"/>
      <c r="K2" s="235" t="s">
        <v>25</v>
      </c>
      <c r="L2" s="235"/>
      <c r="M2" s="235"/>
    </row>
    <row r="3" spans="1:54" s="85" customFormat="1">
      <c r="A3" s="90" t="s">
        <v>16</v>
      </c>
      <c r="B3" s="90" t="s">
        <v>17</v>
      </c>
      <c r="C3" s="90" t="s">
        <v>18</v>
      </c>
      <c r="D3" s="90" t="s">
        <v>19</v>
      </c>
      <c r="E3" s="90" t="s">
        <v>87</v>
      </c>
      <c r="F3" s="90" t="s">
        <v>20</v>
      </c>
      <c r="G3" s="90" t="s">
        <v>21</v>
      </c>
      <c r="H3" s="91" t="s">
        <v>22</v>
      </c>
      <c r="I3" s="91" t="s">
        <v>23</v>
      </c>
      <c r="J3" s="91" t="s">
        <v>24</v>
      </c>
      <c r="K3" s="142" t="s">
        <v>4</v>
      </c>
      <c r="L3" s="143" t="s">
        <v>37</v>
      </c>
      <c r="M3" s="144" t="s">
        <v>126</v>
      </c>
    </row>
    <row r="4" spans="1:54">
      <c r="A4" s="47">
        <v>45965</v>
      </c>
      <c r="B4" s="48" t="s">
        <v>41</v>
      </c>
      <c r="C4" s="31" t="s">
        <v>32</v>
      </c>
      <c r="D4" s="30" t="s">
        <v>119</v>
      </c>
      <c r="E4" s="31">
        <v>2</v>
      </c>
      <c r="F4" s="32" t="s">
        <v>116</v>
      </c>
      <c r="G4" s="50">
        <f>2*42250</f>
        <v>84500</v>
      </c>
      <c r="H4" s="39"/>
      <c r="I4" s="39"/>
      <c r="J4" s="39"/>
      <c r="K4" s="50">
        <f>SUM(G4)</f>
        <v>84500</v>
      </c>
      <c r="L4" s="50"/>
    </row>
    <row r="5" spans="1:54" s="165" customFormat="1">
      <c r="A5" s="161">
        <v>45962</v>
      </c>
      <c r="B5" s="161" t="s">
        <v>41</v>
      </c>
      <c r="C5" s="162" t="s">
        <v>147</v>
      </c>
      <c r="D5" s="161" t="s">
        <v>147</v>
      </c>
      <c r="E5" s="162">
        <v>1</v>
      </c>
      <c r="F5" s="163" t="s">
        <v>167</v>
      </c>
      <c r="G5" s="164">
        <f>22662.95+4759.22+24000</f>
        <v>51422.17</v>
      </c>
      <c r="H5" s="164"/>
      <c r="I5" s="164"/>
      <c r="J5" s="164"/>
      <c r="K5" s="164">
        <v>0</v>
      </c>
      <c r="L5" s="164"/>
      <c r="M5" s="166">
        <f>G5</f>
        <v>51422.17</v>
      </c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</row>
    <row r="6" spans="1:54">
      <c r="A6" s="47">
        <v>45969</v>
      </c>
      <c r="B6" s="48" t="s">
        <v>41</v>
      </c>
      <c r="C6" s="31" t="s">
        <v>32</v>
      </c>
      <c r="D6" s="30" t="s">
        <v>47</v>
      </c>
      <c r="E6" s="31">
        <v>2</v>
      </c>
      <c r="F6" s="32" t="s">
        <v>161</v>
      </c>
      <c r="G6" s="50">
        <f>25500*2</f>
        <v>51000</v>
      </c>
      <c r="H6" s="39"/>
      <c r="I6" s="39"/>
      <c r="J6" s="39"/>
      <c r="K6" s="50">
        <f>SUM(G6)</f>
        <v>51000</v>
      </c>
      <c r="L6" s="50"/>
    </row>
    <row r="7" spans="1:54" s="165" customFormat="1">
      <c r="A7" s="161">
        <v>45969</v>
      </c>
      <c r="B7" s="161" t="s">
        <v>41</v>
      </c>
      <c r="C7" s="162" t="s">
        <v>147</v>
      </c>
      <c r="D7" s="161" t="s">
        <v>147</v>
      </c>
      <c r="E7" s="162">
        <v>1</v>
      </c>
      <c r="F7" s="163" t="s">
        <v>168</v>
      </c>
      <c r="G7" s="164">
        <f>56143.31+19200+15822.1+51000</f>
        <v>142165.41</v>
      </c>
      <c r="H7" s="164"/>
      <c r="I7" s="164"/>
      <c r="J7" s="164"/>
      <c r="K7" s="164">
        <v>0</v>
      </c>
      <c r="L7" s="164"/>
      <c r="M7" s="166">
        <f>G7</f>
        <v>142165.41</v>
      </c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</row>
    <row r="8" spans="1:54" ht="15" thickBot="1">
      <c r="A8" s="35">
        <v>45970</v>
      </c>
      <c r="B8" s="152" t="s">
        <v>41</v>
      </c>
      <c r="C8" s="152" t="s">
        <v>30</v>
      </c>
      <c r="D8" s="153" t="s">
        <v>33</v>
      </c>
      <c r="E8" s="152">
        <v>400</v>
      </c>
      <c r="F8" s="154" t="s">
        <v>34</v>
      </c>
      <c r="G8" s="158">
        <f>400*156</f>
        <v>62400</v>
      </c>
      <c r="H8" s="156"/>
      <c r="I8" s="39"/>
      <c r="J8" s="39"/>
      <c r="K8" s="33"/>
      <c r="L8" s="33">
        <f>G8</f>
        <v>62400</v>
      </c>
    </row>
    <row r="9" spans="1:54">
      <c r="A9" s="103">
        <v>45970</v>
      </c>
      <c r="B9" s="104" t="s">
        <v>41</v>
      </c>
      <c r="C9" s="105" t="s">
        <v>88</v>
      </c>
      <c r="D9" s="104" t="s">
        <v>89</v>
      </c>
      <c r="E9" s="105"/>
      <c r="F9" s="106" t="s">
        <v>156</v>
      </c>
      <c r="G9" s="107">
        <v>800000</v>
      </c>
      <c r="H9" s="107"/>
      <c r="I9" s="107"/>
      <c r="J9" s="107"/>
      <c r="K9" s="107">
        <v>400000</v>
      </c>
      <c r="L9" s="108">
        <v>0</v>
      </c>
      <c r="M9" s="205">
        <v>400000</v>
      </c>
    </row>
    <row r="10" spans="1:54" ht="15" thickBot="1">
      <c r="A10" s="109">
        <v>45970</v>
      </c>
      <c r="B10" s="110" t="s">
        <v>41</v>
      </c>
      <c r="C10" s="111" t="s">
        <v>88</v>
      </c>
      <c r="D10" s="110" t="s">
        <v>91</v>
      </c>
      <c r="E10" s="111"/>
      <c r="F10" s="112" t="s">
        <v>157</v>
      </c>
      <c r="G10" s="113">
        <v>800000</v>
      </c>
      <c r="H10" s="113"/>
      <c r="I10" s="113"/>
      <c r="J10" s="113"/>
      <c r="K10" s="113">
        <v>69500</v>
      </c>
      <c r="L10" s="114">
        <f>G10-M10-K10</f>
        <v>566938.74</v>
      </c>
      <c r="M10" s="206">
        <v>163561.26</v>
      </c>
    </row>
    <row r="11" spans="1:54">
      <c r="A11" s="30">
        <v>45974</v>
      </c>
      <c r="B11" s="30" t="s">
        <v>41</v>
      </c>
      <c r="C11" s="31" t="s">
        <v>26</v>
      </c>
      <c r="D11" s="30" t="s">
        <v>42</v>
      </c>
      <c r="E11" s="31">
        <v>1</v>
      </c>
      <c r="F11" s="32" t="s">
        <v>143</v>
      </c>
      <c r="G11" s="33">
        <v>15000</v>
      </c>
      <c r="H11" s="34"/>
      <c r="I11" s="34"/>
      <c r="J11" s="34"/>
      <c r="K11" s="33"/>
      <c r="L11" s="33">
        <f>G11</f>
        <v>15000</v>
      </c>
    </row>
    <row r="12" spans="1:54" s="165" customFormat="1">
      <c r="A12" s="161">
        <v>45975</v>
      </c>
      <c r="B12" s="161" t="s">
        <v>41</v>
      </c>
      <c r="C12" s="162" t="s">
        <v>147</v>
      </c>
      <c r="D12" s="161" t="s">
        <v>147</v>
      </c>
      <c r="E12" s="162">
        <v>1</v>
      </c>
      <c r="F12" s="163" t="s">
        <v>174</v>
      </c>
      <c r="G12" s="164">
        <f>37049.82+7780.46+23000-19200</f>
        <v>48630.28</v>
      </c>
      <c r="H12" s="164"/>
      <c r="I12" s="164"/>
      <c r="J12" s="164"/>
      <c r="K12" s="164">
        <v>0</v>
      </c>
      <c r="L12" s="164"/>
      <c r="M12" s="166">
        <f>G12</f>
        <v>48630.28</v>
      </c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</row>
    <row r="13" spans="1:54">
      <c r="A13" s="35">
        <v>45976</v>
      </c>
      <c r="B13" s="152" t="s">
        <v>41</v>
      </c>
      <c r="C13" s="152" t="s">
        <v>30</v>
      </c>
      <c r="D13" s="153" t="s">
        <v>33</v>
      </c>
      <c r="E13" s="152">
        <v>400</v>
      </c>
      <c r="F13" s="154" t="s">
        <v>34</v>
      </c>
      <c r="G13" s="158">
        <v>62400</v>
      </c>
      <c r="H13" s="156"/>
      <c r="I13" s="39"/>
      <c r="J13" s="39"/>
      <c r="K13" s="33"/>
      <c r="L13" s="33"/>
    </row>
    <row r="14" spans="1:54">
      <c r="A14" s="35">
        <v>45976</v>
      </c>
      <c r="B14" s="48" t="s">
        <v>41</v>
      </c>
      <c r="C14" s="151" t="s">
        <v>31</v>
      </c>
      <c r="D14" s="47" t="s">
        <v>33</v>
      </c>
      <c r="E14" s="48">
        <v>400</v>
      </c>
      <c r="F14" s="155" t="s">
        <v>115</v>
      </c>
      <c r="G14" s="159">
        <v>143200</v>
      </c>
      <c r="H14" s="157"/>
      <c r="I14" s="51"/>
      <c r="J14" s="51"/>
      <c r="K14" s="33"/>
      <c r="L14" s="33"/>
    </row>
    <row r="15" spans="1:54">
      <c r="A15" s="35">
        <v>45958</v>
      </c>
      <c r="B15" s="48" t="s">
        <v>41</v>
      </c>
      <c r="C15" s="151" t="s">
        <v>31</v>
      </c>
      <c r="D15" s="47" t="s">
        <v>33</v>
      </c>
      <c r="E15" s="48">
        <v>200</v>
      </c>
      <c r="F15" s="155" t="s">
        <v>169</v>
      </c>
      <c r="G15" s="159">
        <v>71100</v>
      </c>
      <c r="H15" s="157"/>
      <c r="I15" s="51"/>
      <c r="J15" s="51"/>
      <c r="K15" s="33">
        <f>G13+G14+G15</f>
        <v>276700</v>
      </c>
      <c r="L15" s="33"/>
    </row>
    <row r="16" spans="1:54">
      <c r="A16" s="40">
        <v>45978</v>
      </c>
      <c r="B16" s="31" t="s">
        <v>41</v>
      </c>
      <c r="C16" s="42" t="s">
        <v>65</v>
      </c>
      <c r="D16" s="40" t="s">
        <v>170</v>
      </c>
      <c r="E16" s="42">
        <v>100</v>
      </c>
      <c r="F16" s="43" t="s">
        <v>171</v>
      </c>
      <c r="G16" s="33">
        <v>2900</v>
      </c>
      <c r="H16" s="44"/>
      <c r="I16" s="44"/>
      <c r="J16" s="44"/>
      <c r="K16" s="33">
        <f>G16</f>
        <v>2900</v>
      </c>
      <c r="L16" s="50"/>
    </row>
    <row r="17" spans="1:54">
      <c r="A17" s="30">
        <v>45978</v>
      </c>
      <c r="B17" s="31" t="s">
        <v>41</v>
      </c>
      <c r="C17" s="31" t="s">
        <v>46</v>
      </c>
      <c r="D17" s="31" t="s">
        <v>56</v>
      </c>
      <c r="E17" s="31">
        <v>1</v>
      </c>
      <c r="F17" s="32" t="s">
        <v>172</v>
      </c>
      <c r="G17" s="33">
        <v>44580.74</v>
      </c>
      <c r="H17" s="33"/>
      <c r="I17" s="33"/>
      <c r="J17" s="33"/>
      <c r="K17" s="33"/>
      <c r="L17" s="33">
        <f>G17</f>
        <v>44580.74</v>
      </c>
    </row>
    <row r="18" spans="1:54">
      <c r="A18" s="30">
        <v>45978</v>
      </c>
      <c r="B18" s="30" t="s">
        <v>41</v>
      </c>
      <c r="C18" s="31" t="s">
        <v>46</v>
      </c>
      <c r="D18" s="30" t="s">
        <v>44</v>
      </c>
      <c r="E18" s="31">
        <v>1</v>
      </c>
      <c r="F18" s="32" t="s">
        <v>173</v>
      </c>
      <c r="G18" s="33">
        <v>15103</v>
      </c>
      <c r="H18" s="34"/>
      <c r="I18" s="34"/>
      <c r="J18" s="34"/>
      <c r="K18" s="33"/>
      <c r="L18" s="33">
        <f>G18</f>
        <v>15103</v>
      </c>
    </row>
    <row r="19" spans="1:54">
      <c r="A19" s="47">
        <v>45980</v>
      </c>
      <c r="B19" s="48" t="s">
        <v>41</v>
      </c>
      <c r="C19" s="31" t="s">
        <v>32</v>
      </c>
      <c r="D19" s="30" t="s">
        <v>119</v>
      </c>
      <c r="E19" s="31">
        <v>2</v>
      </c>
      <c r="F19" s="32" t="s">
        <v>116</v>
      </c>
      <c r="G19" s="50">
        <v>88300</v>
      </c>
      <c r="H19" s="39"/>
      <c r="I19" s="39"/>
      <c r="J19" s="39"/>
      <c r="K19" s="33">
        <f>SUM(G19)</f>
        <v>88300</v>
      </c>
      <c r="L19" s="50"/>
      <c r="M19" s="131">
        <f>G4+G5+G6+G8+G11+G12+G13+G14+G15+G16+G17+G18+G19</f>
        <v>740536.19</v>
      </c>
    </row>
    <row r="20" spans="1:54" s="165" customFormat="1">
      <c r="A20" s="161">
        <v>45986</v>
      </c>
      <c r="B20" s="161" t="s">
        <v>41</v>
      </c>
      <c r="C20" s="162" t="s">
        <v>147</v>
      </c>
      <c r="D20" s="161" t="s">
        <v>147</v>
      </c>
      <c r="E20" s="162">
        <v>1</v>
      </c>
      <c r="F20" s="163" t="s">
        <v>175</v>
      </c>
      <c r="G20" s="164">
        <f>29489.56+10260+8347.41</f>
        <v>48096.97</v>
      </c>
      <c r="H20" s="164"/>
      <c r="I20" s="164"/>
      <c r="J20" s="164"/>
      <c r="K20" s="164">
        <v>0</v>
      </c>
      <c r="L20" s="164"/>
      <c r="M20" s="166">
        <f>G20</f>
        <v>48096.97</v>
      </c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</row>
    <row r="21" spans="1:54">
      <c r="A21" s="30">
        <v>45987</v>
      </c>
      <c r="B21" s="31" t="s">
        <v>41</v>
      </c>
      <c r="C21" s="31" t="s">
        <v>58</v>
      </c>
      <c r="D21" s="31" t="s">
        <v>59</v>
      </c>
      <c r="E21" s="31"/>
      <c r="F21" s="32" t="s">
        <v>165</v>
      </c>
      <c r="G21" s="33">
        <v>16000</v>
      </c>
      <c r="H21" s="33"/>
      <c r="I21" s="33"/>
      <c r="J21" s="33"/>
      <c r="K21" s="33"/>
      <c r="L21" s="33">
        <f>G21</f>
        <v>16000</v>
      </c>
    </row>
    <row r="22" spans="1:54">
      <c r="A22" s="40">
        <v>45988</v>
      </c>
      <c r="B22" s="31" t="s">
        <v>41</v>
      </c>
      <c r="C22" s="42" t="s">
        <v>65</v>
      </c>
      <c r="D22" s="40" t="s">
        <v>141</v>
      </c>
      <c r="E22" s="42">
        <v>1000</v>
      </c>
      <c r="F22" s="43" t="s">
        <v>176</v>
      </c>
      <c r="G22" s="33">
        <v>25000</v>
      </c>
      <c r="H22" s="44"/>
      <c r="I22" s="44"/>
      <c r="J22" s="44"/>
      <c r="K22" s="33">
        <f>G22</f>
        <v>25000</v>
      </c>
      <c r="L22" s="50"/>
    </row>
    <row r="23" spans="1:54">
      <c r="A23" s="40">
        <v>45988</v>
      </c>
      <c r="B23" s="31" t="s">
        <v>41</v>
      </c>
      <c r="C23" s="42" t="s">
        <v>65</v>
      </c>
      <c r="D23" s="40" t="s">
        <v>66</v>
      </c>
      <c r="E23" s="42">
        <v>1</v>
      </c>
      <c r="F23" s="43" t="s">
        <v>177</v>
      </c>
      <c r="G23" s="33">
        <v>5000</v>
      </c>
      <c r="H23" s="44"/>
      <c r="I23" s="44"/>
      <c r="J23" s="44"/>
      <c r="K23" s="33">
        <f>G23</f>
        <v>5000</v>
      </c>
      <c r="L23" s="40"/>
    </row>
    <row r="24" spans="1:54">
      <c r="A24" s="47">
        <v>45990</v>
      </c>
      <c r="B24" s="48" t="s">
        <v>41</v>
      </c>
      <c r="C24" s="31" t="s">
        <v>32</v>
      </c>
      <c r="D24" s="30" t="s">
        <v>119</v>
      </c>
      <c r="E24" s="31">
        <v>1</v>
      </c>
      <c r="F24" s="32" t="s">
        <v>36</v>
      </c>
      <c r="G24" s="50">
        <f>44000</f>
        <v>44000</v>
      </c>
      <c r="H24" s="39"/>
      <c r="I24" s="39"/>
      <c r="J24" s="39"/>
      <c r="K24" s="50">
        <f>SUM(G24)</f>
        <v>44000</v>
      </c>
      <c r="L24" s="50"/>
    </row>
    <row r="25" spans="1:54" s="165" customFormat="1">
      <c r="A25" s="161">
        <v>45990</v>
      </c>
      <c r="B25" s="161" t="s">
        <v>41</v>
      </c>
      <c r="C25" s="162" t="s">
        <v>147</v>
      </c>
      <c r="D25" s="161" t="s">
        <v>147</v>
      </c>
      <c r="E25" s="162">
        <v>1</v>
      </c>
      <c r="F25" s="163" t="s">
        <v>178</v>
      </c>
      <c r="G25" s="164">
        <f>41590.59+8734.02+27620</f>
        <v>77944.61</v>
      </c>
      <c r="H25" s="164"/>
      <c r="I25" s="164"/>
      <c r="J25" s="164"/>
      <c r="K25" s="164">
        <v>0</v>
      </c>
      <c r="L25" s="164"/>
      <c r="M25" s="166">
        <f>G25</f>
        <v>77944.61</v>
      </c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</row>
    <row r="26" spans="1:54">
      <c r="A26" s="35">
        <v>45991</v>
      </c>
      <c r="B26" s="152" t="s">
        <v>41</v>
      </c>
      <c r="C26" s="152" t="s">
        <v>30</v>
      </c>
      <c r="D26" s="153" t="s">
        <v>33</v>
      </c>
      <c r="E26" s="152">
        <v>200</v>
      </c>
      <c r="F26" s="154" t="s">
        <v>78</v>
      </c>
      <c r="G26" s="158">
        <v>31200</v>
      </c>
      <c r="H26" s="156"/>
      <c r="I26" s="39"/>
      <c r="J26" s="39"/>
      <c r="K26" s="33"/>
      <c r="L26" s="33">
        <f>G26</f>
        <v>31200</v>
      </c>
    </row>
    <row r="27" spans="1:54" ht="15" thickBot="1">
      <c r="A27" s="35">
        <v>45991</v>
      </c>
      <c r="B27" s="152" t="s">
        <v>41</v>
      </c>
      <c r="C27" s="152" t="s">
        <v>30</v>
      </c>
      <c r="D27" s="153" t="s">
        <v>33</v>
      </c>
      <c r="E27" s="152">
        <v>200</v>
      </c>
      <c r="F27" s="154" t="s">
        <v>169</v>
      </c>
      <c r="G27" s="158">
        <v>71600</v>
      </c>
      <c r="H27" s="156"/>
      <c r="I27" s="39"/>
      <c r="J27" s="39"/>
      <c r="K27" s="33"/>
      <c r="L27" s="33">
        <f>G27</f>
        <v>71600</v>
      </c>
    </row>
    <row r="28" spans="1:54">
      <c r="A28" s="103">
        <v>45991</v>
      </c>
      <c r="B28" s="104" t="s">
        <v>41</v>
      </c>
      <c r="C28" s="105" t="s">
        <v>88</v>
      </c>
      <c r="D28" s="104" t="s">
        <v>89</v>
      </c>
      <c r="E28" s="105"/>
      <c r="F28" s="106" t="s">
        <v>156</v>
      </c>
      <c r="G28" s="107">
        <v>350000</v>
      </c>
      <c r="H28" s="107"/>
      <c r="I28" s="107"/>
      <c r="J28" s="107"/>
      <c r="K28" s="107">
        <v>0</v>
      </c>
      <c r="L28" s="108">
        <f>G28-M28</f>
        <v>106000</v>
      </c>
      <c r="M28" s="205">
        <v>244000</v>
      </c>
    </row>
    <row r="29" spans="1:54" ht="15" thickBot="1">
      <c r="A29" s="109">
        <v>45991</v>
      </c>
      <c r="B29" s="110" t="s">
        <v>41</v>
      </c>
      <c r="C29" s="111" t="s">
        <v>88</v>
      </c>
      <c r="D29" s="110" t="s">
        <v>91</v>
      </c>
      <c r="E29" s="111"/>
      <c r="F29" s="112" t="s">
        <v>157</v>
      </c>
      <c r="G29" s="113">
        <v>350000</v>
      </c>
      <c r="H29" s="113"/>
      <c r="I29" s="113"/>
      <c r="J29" s="113"/>
      <c r="K29" s="113">
        <v>0</v>
      </c>
      <c r="L29" s="114">
        <v>350000</v>
      </c>
      <c r="M29" s="206"/>
    </row>
    <row r="30" spans="1:54" s="190" customFormat="1">
      <c r="A30" s="186"/>
      <c r="B30" s="186"/>
      <c r="C30" s="186"/>
      <c r="D30" s="186"/>
      <c r="E30" s="186"/>
      <c r="F30" s="186"/>
      <c r="G30" s="186"/>
      <c r="H30" s="187"/>
      <c r="I30" s="187"/>
      <c r="J30" s="187"/>
      <c r="K30" s="188"/>
      <c r="L30" s="187"/>
      <c r="M30" s="200"/>
    </row>
    <row r="31" spans="1:54" s="190" customFormat="1">
      <c r="A31" s="186"/>
      <c r="B31" s="186"/>
      <c r="C31" s="186"/>
      <c r="D31" s="186"/>
      <c r="E31" s="186"/>
      <c r="F31" s="186"/>
      <c r="G31" s="216">
        <f>G4+G5+G6+G7+G8+G11+G12+G13+G14+G15+G16+G17+G18+G19+G20+G21+G22+G23+G24+G25+G26+G27</f>
        <v>1201543.18</v>
      </c>
      <c r="H31" s="187"/>
      <c r="I31" s="187"/>
      <c r="J31" s="187"/>
      <c r="K31" s="188"/>
      <c r="L31" s="191"/>
      <c r="M31" s="200"/>
    </row>
    <row r="32" spans="1:54" s="190" customFormat="1">
      <c r="A32" s="186"/>
      <c r="B32" s="186"/>
      <c r="C32" s="186"/>
      <c r="D32" s="186"/>
      <c r="E32" s="186"/>
      <c r="F32" s="186"/>
      <c r="G32" s="186"/>
      <c r="H32" s="187"/>
      <c r="I32" s="187"/>
      <c r="J32" s="187"/>
      <c r="K32" s="188"/>
      <c r="L32" s="191"/>
      <c r="M32" s="189"/>
    </row>
    <row r="33" spans="1:13" s="190" customFormat="1">
      <c r="A33" s="186"/>
      <c r="B33" s="186"/>
      <c r="C33" s="186"/>
      <c r="D33" s="186"/>
      <c r="E33" s="186"/>
      <c r="F33" s="186"/>
      <c r="G33" s="186"/>
      <c r="H33" s="187"/>
      <c r="I33" s="187"/>
      <c r="J33" s="187"/>
      <c r="K33" s="188"/>
      <c r="L33" s="191"/>
      <c r="M33" s="189"/>
    </row>
    <row r="34" spans="1:13" s="190" customFormat="1">
      <c r="A34" s="186"/>
      <c r="B34" s="186"/>
      <c r="C34" s="186"/>
      <c r="D34" s="186"/>
      <c r="E34" s="186"/>
      <c r="F34" s="186"/>
      <c r="G34" s="186"/>
      <c r="H34" s="187"/>
      <c r="I34" s="187"/>
      <c r="J34" s="187"/>
      <c r="K34" s="188"/>
      <c r="L34" s="191"/>
      <c r="M34" s="189"/>
    </row>
    <row r="35" spans="1:13" s="190" customFormat="1">
      <c r="A35" s="186"/>
      <c r="B35" s="186"/>
      <c r="C35" s="186"/>
      <c r="D35" s="186"/>
      <c r="E35" s="186"/>
      <c r="F35" s="186"/>
      <c r="G35" s="186"/>
      <c r="H35" s="187"/>
      <c r="I35" s="187"/>
      <c r="J35" s="187"/>
      <c r="K35" s="188"/>
      <c r="L35" s="191"/>
      <c r="M35" s="189"/>
    </row>
    <row r="36" spans="1:13" s="190" customFormat="1">
      <c r="A36" s="186"/>
      <c r="B36" s="186"/>
      <c r="C36" s="186"/>
      <c r="D36" s="186"/>
      <c r="E36" s="186"/>
      <c r="F36" s="186"/>
      <c r="G36" s="186"/>
      <c r="H36" s="187"/>
      <c r="I36" s="187"/>
      <c r="J36" s="187"/>
      <c r="K36" s="188"/>
      <c r="L36" s="191"/>
      <c r="M36" s="189"/>
    </row>
    <row r="37" spans="1:13" s="190" customFormat="1">
      <c r="A37" s="186"/>
      <c r="B37" s="186"/>
      <c r="C37" s="186"/>
      <c r="D37" s="186"/>
      <c r="E37" s="186"/>
      <c r="F37" s="186"/>
      <c r="G37" s="186"/>
      <c r="H37" s="187"/>
      <c r="I37" s="187"/>
      <c r="J37" s="187"/>
      <c r="K37" s="188"/>
      <c r="L37" s="191"/>
      <c r="M37" s="189"/>
    </row>
    <row r="38" spans="1:13" s="190" customFormat="1">
      <c r="A38" s="186"/>
      <c r="B38" s="186"/>
      <c r="C38" s="186"/>
      <c r="D38" s="186"/>
      <c r="E38" s="186"/>
      <c r="F38" s="186"/>
      <c r="G38" s="186"/>
      <c r="H38" s="187"/>
      <c r="I38" s="187"/>
      <c r="J38" s="187"/>
      <c r="K38" s="188"/>
      <c r="L38" s="191"/>
      <c r="M38" s="189"/>
    </row>
    <row r="39" spans="1:13" s="190" customFormat="1">
      <c r="A39" s="186"/>
      <c r="B39" s="186"/>
      <c r="C39" s="186"/>
      <c r="D39" s="186"/>
      <c r="E39" s="186"/>
      <c r="F39" s="186"/>
      <c r="G39" s="186"/>
      <c r="H39" s="187"/>
      <c r="I39" s="187"/>
      <c r="J39" s="187"/>
      <c r="K39" s="188"/>
      <c r="L39" s="191"/>
      <c r="M39" s="189"/>
    </row>
    <row r="40" spans="1:13" s="190" customFormat="1">
      <c r="A40" s="186"/>
      <c r="B40" s="186"/>
      <c r="C40" s="186"/>
      <c r="D40" s="186"/>
      <c r="E40" s="186"/>
      <c r="F40" s="186"/>
      <c r="G40" s="186"/>
      <c r="H40" s="187"/>
      <c r="I40" s="187"/>
      <c r="J40" s="187"/>
      <c r="K40" s="188"/>
      <c r="L40" s="191"/>
      <c r="M40" s="189"/>
    </row>
    <row r="41" spans="1:13" s="190" customFormat="1">
      <c r="A41" s="186"/>
      <c r="B41" s="186"/>
      <c r="C41" s="186"/>
      <c r="D41" s="186"/>
      <c r="E41" s="186"/>
      <c r="F41" s="186"/>
      <c r="G41" s="186"/>
      <c r="H41" s="187"/>
      <c r="I41" s="187"/>
      <c r="J41" s="187"/>
      <c r="K41" s="188"/>
      <c r="L41" s="191"/>
      <c r="M41" s="189"/>
    </row>
    <row r="42" spans="1:13" s="190" customFormat="1">
      <c r="A42" s="186"/>
      <c r="B42" s="186"/>
      <c r="C42" s="186"/>
      <c r="D42" s="186"/>
      <c r="E42" s="186"/>
      <c r="F42" s="186"/>
      <c r="G42" s="186"/>
      <c r="H42" s="187"/>
      <c r="I42" s="187"/>
      <c r="J42" s="187"/>
      <c r="K42" s="188"/>
      <c r="L42" s="191"/>
      <c r="M42" s="189"/>
    </row>
    <row r="43" spans="1:13" s="190" customFormat="1">
      <c r="A43" s="186"/>
      <c r="B43" s="186"/>
      <c r="C43" s="186"/>
      <c r="D43" s="186"/>
      <c r="E43" s="186"/>
      <c r="F43" s="186"/>
      <c r="G43" s="186"/>
      <c r="H43" s="187"/>
      <c r="I43" s="187"/>
      <c r="J43" s="187"/>
      <c r="K43" s="188"/>
      <c r="L43" s="191"/>
      <c r="M43" s="189"/>
    </row>
    <row r="44" spans="1:13" s="190" customFormat="1">
      <c r="A44" s="186"/>
      <c r="B44" s="186"/>
      <c r="C44" s="186"/>
      <c r="D44" s="186"/>
      <c r="E44" s="186"/>
      <c r="F44" s="186"/>
      <c r="G44" s="186"/>
      <c r="H44" s="187"/>
      <c r="I44" s="187"/>
      <c r="J44" s="187"/>
      <c r="K44" s="188"/>
      <c r="L44" s="191"/>
      <c r="M44" s="189"/>
    </row>
    <row r="45" spans="1:13" s="190" customFormat="1">
      <c r="A45" s="186"/>
      <c r="B45" s="186"/>
      <c r="C45" s="186"/>
      <c r="D45" s="186"/>
      <c r="E45" s="186"/>
      <c r="F45" s="186"/>
      <c r="G45" s="186"/>
      <c r="H45" s="187"/>
      <c r="I45" s="187"/>
      <c r="J45" s="187"/>
      <c r="K45" s="188"/>
      <c r="L45" s="191"/>
      <c r="M45" s="189"/>
    </row>
    <row r="46" spans="1:13" s="190" customFormat="1">
      <c r="A46" s="186"/>
      <c r="B46" s="186"/>
      <c r="C46" s="186"/>
      <c r="D46" s="186"/>
      <c r="E46" s="186"/>
      <c r="F46" s="186"/>
      <c r="G46" s="186"/>
      <c r="H46" s="187"/>
      <c r="I46" s="187"/>
      <c r="J46" s="187"/>
      <c r="K46" s="188"/>
      <c r="L46" s="191"/>
      <c r="M46" s="189"/>
    </row>
    <row r="47" spans="1:13" s="190" customFormat="1">
      <c r="A47" s="186"/>
      <c r="B47" s="186"/>
      <c r="C47" s="186"/>
      <c r="D47" s="186"/>
      <c r="E47" s="186"/>
      <c r="F47" s="186"/>
      <c r="G47" s="186"/>
      <c r="H47" s="187"/>
      <c r="I47" s="187"/>
      <c r="J47" s="187"/>
      <c r="K47" s="188"/>
      <c r="L47" s="191"/>
      <c r="M47" s="189"/>
    </row>
    <row r="48" spans="1:13" s="190" customFormat="1">
      <c r="A48" s="186"/>
      <c r="B48" s="186"/>
      <c r="C48" s="186"/>
      <c r="D48" s="186"/>
      <c r="E48" s="186"/>
      <c r="F48" s="186"/>
      <c r="G48" s="186"/>
      <c r="H48" s="187"/>
      <c r="I48" s="187"/>
      <c r="J48" s="187"/>
      <c r="K48" s="188"/>
      <c r="L48" s="191"/>
      <c r="M48" s="189"/>
    </row>
    <row r="49" spans="1:54" s="190" customFormat="1">
      <c r="A49" s="186"/>
      <c r="B49" s="186"/>
      <c r="C49" s="186"/>
      <c r="D49" s="186"/>
      <c r="E49" s="186"/>
      <c r="F49" s="186"/>
      <c r="G49" s="186"/>
      <c r="H49" s="187"/>
      <c r="I49" s="187"/>
      <c r="J49" s="187"/>
      <c r="K49" s="188"/>
      <c r="L49" s="191"/>
      <c r="M49" s="189"/>
    </row>
    <row r="50" spans="1:54" s="190" customFormat="1">
      <c r="A50" s="186"/>
      <c r="B50" s="186"/>
      <c r="C50" s="186"/>
      <c r="D50" s="186"/>
      <c r="E50" s="186"/>
      <c r="F50" s="186"/>
      <c r="G50" s="186"/>
      <c r="H50" s="187"/>
      <c r="I50" s="187"/>
      <c r="J50" s="187"/>
      <c r="K50" s="188"/>
      <c r="L50" s="191"/>
      <c r="M50" s="189"/>
    </row>
    <row r="51" spans="1:54" s="190" customFormat="1">
      <c r="A51" s="186"/>
      <c r="B51" s="186"/>
      <c r="C51" s="186"/>
      <c r="D51" s="186"/>
      <c r="E51" s="186"/>
      <c r="F51" s="186"/>
      <c r="G51" s="186"/>
      <c r="H51" s="187"/>
      <c r="I51" s="187"/>
      <c r="J51" s="187"/>
      <c r="K51" s="188"/>
      <c r="L51" s="191"/>
      <c r="M51" s="189"/>
    </row>
    <row r="52" spans="1:54" s="190" customFormat="1">
      <c r="A52" s="186"/>
      <c r="B52" s="186"/>
      <c r="C52" s="186"/>
      <c r="D52" s="186"/>
      <c r="E52" s="186"/>
      <c r="F52" s="186"/>
      <c r="G52" s="186"/>
      <c r="H52" s="187"/>
      <c r="I52" s="187"/>
      <c r="J52" s="187"/>
      <c r="K52" s="188"/>
      <c r="L52" s="191"/>
      <c r="M52" s="189"/>
    </row>
    <row r="53" spans="1:54" s="165" customFormat="1">
      <c r="A53" s="161">
        <v>45930</v>
      </c>
      <c r="B53" s="161" t="s">
        <v>41</v>
      </c>
      <c r="C53" s="162" t="s">
        <v>147</v>
      </c>
      <c r="D53" s="161" t="s">
        <v>147</v>
      </c>
      <c r="E53" s="162">
        <v>1</v>
      </c>
      <c r="F53" s="163" t="s">
        <v>155</v>
      </c>
      <c r="G53" s="164">
        <f>20677+4894.54+7415.75</f>
        <v>32987.29</v>
      </c>
      <c r="H53" s="164"/>
      <c r="I53" s="164"/>
      <c r="J53" s="164"/>
      <c r="K53" s="164">
        <v>0</v>
      </c>
      <c r="L53" s="164"/>
      <c r="M53" s="166">
        <f>G53</f>
        <v>32987.29</v>
      </c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</row>
    <row r="54" spans="1:54">
      <c r="A54" s="35">
        <v>45940</v>
      </c>
      <c r="B54" s="152" t="s">
        <v>41</v>
      </c>
      <c r="C54" s="152" t="s">
        <v>30</v>
      </c>
      <c r="D54" s="153" t="s">
        <v>33</v>
      </c>
      <c r="E54" s="152">
        <v>600</v>
      </c>
      <c r="F54" s="154" t="s">
        <v>160</v>
      </c>
      <c r="G54" s="158">
        <f>62400+31200</f>
        <v>93600</v>
      </c>
      <c r="H54" s="156"/>
      <c r="I54" s="39"/>
      <c r="J54" s="39"/>
      <c r="K54" s="33">
        <f>G54</f>
        <v>93600</v>
      </c>
      <c r="L54" s="33"/>
    </row>
    <row r="55" spans="1:54">
      <c r="A55" s="47">
        <v>45943</v>
      </c>
      <c r="B55" s="48" t="s">
        <v>41</v>
      </c>
      <c r="C55" s="31" t="s">
        <v>32</v>
      </c>
      <c r="D55" s="30" t="s">
        <v>47</v>
      </c>
      <c r="E55" s="31">
        <v>4</v>
      </c>
      <c r="F55" s="32" t="s">
        <v>161</v>
      </c>
      <c r="G55" s="50">
        <f>25000*4</f>
        <v>100000</v>
      </c>
      <c r="H55" s="39"/>
      <c r="I55" s="39"/>
      <c r="J55" s="39"/>
      <c r="K55" s="50">
        <f>SUM(G55)</f>
        <v>100000</v>
      </c>
      <c r="L55" s="50"/>
    </row>
    <row r="56" spans="1:54">
      <c r="A56" s="30">
        <v>45943</v>
      </c>
      <c r="B56" s="30" t="s">
        <v>41</v>
      </c>
      <c r="C56" s="31" t="s">
        <v>26</v>
      </c>
      <c r="D56" s="30" t="s">
        <v>42</v>
      </c>
      <c r="E56" s="31">
        <v>1</v>
      </c>
      <c r="F56" s="32" t="s">
        <v>143</v>
      </c>
      <c r="G56" s="33">
        <v>10000</v>
      </c>
      <c r="H56" s="34"/>
      <c r="I56" s="34"/>
      <c r="J56" s="34"/>
      <c r="K56" s="33"/>
      <c r="L56" s="33">
        <f>G56</f>
        <v>10000</v>
      </c>
    </row>
    <row r="57" spans="1:54">
      <c r="A57" s="30">
        <v>45941</v>
      </c>
      <c r="B57" s="31" t="s">
        <v>41</v>
      </c>
      <c r="C57" s="31" t="s">
        <v>46</v>
      </c>
      <c r="D57" s="31" t="s">
        <v>56</v>
      </c>
      <c r="E57" s="31">
        <v>1</v>
      </c>
      <c r="F57" s="32" t="s">
        <v>162</v>
      </c>
      <c r="G57" s="33">
        <v>11677.6</v>
      </c>
      <c r="H57" s="33"/>
      <c r="I57" s="33"/>
      <c r="J57" s="33"/>
      <c r="K57" s="33"/>
      <c r="L57" s="33">
        <f>G57</f>
        <v>11677.6</v>
      </c>
    </row>
    <row r="58" spans="1:54" s="165" customFormat="1" ht="15" thickBot="1">
      <c r="A58" s="161">
        <v>45930</v>
      </c>
      <c r="B58" s="161" t="s">
        <v>41</v>
      </c>
      <c r="C58" s="162" t="s">
        <v>147</v>
      </c>
      <c r="D58" s="161" t="s">
        <v>147</v>
      </c>
      <c r="E58" s="162">
        <v>1</v>
      </c>
      <c r="F58" s="163" t="s">
        <v>163</v>
      </c>
      <c r="G58" s="164">
        <f>1119.23+235.04</f>
        <v>1354.27</v>
      </c>
      <c r="H58" s="164"/>
      <c r="I58" s="164"/>
      <c r="J58" s="164"/>
      <c r="K58" s="164">
        <v>0</v>
      </c>
      <c r="L58" s="164"/>
      <c r="M58" s="166">
        <f>G58</f>
        <v>1354.27</v>
      </c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</row>
    <row r="59" spans="1:54">
      <c r="A59" s="103">
        <v>45945</v>
      </c>
      <c r="B59" s="104" t="s">
        <v>41</v>
      </c>
      <c r="C59" s="105" t="s">
        <v>88</v>
      </c>
      <c r="D59" s="104" t="s">
        <v>89</v>
      </c>
      <c r="E59" s="105"/>
      <c r="F59" s="106" t="s">
        <v>156</v>
      </c>
      <c r="G59" s="107">
        <v>650000</v>
      </c>
      <c r="H59" s="107"/>
      <c r="I59" s="107"/>
      <c r="J59" s="107"/>
      <c r="K59" s="107">
        <v>400000</v>
      </c>
      <c r="L59" s="108">
        <v>250000</v>
      </c>
    </row>
    <row r="60" spans="1:54" ht="15" thickBot="1">
      <c r="A60" s="109">
        <v>45945</v>
      </c>
      <c r="B60" s="110" t="s">
        <v>41</v>
      </c>
      <c r="C60" s="111" t="s">
        <v>88</v>
      </c>
      <c r="D60" s="110" t="s">
        <v>91</v>
      </c>
      <c r="E60" s="111"/>
      <c r="F60" s="112" t="s">
        <v>157</v>
      </c>
      <c r="G60" s="113">
        <v>650000</v>
      </c>
      <c r="H60" s="113"/>
      <c r="I60" s="113"/>
      <c r="J60" s="113"/>
      <c r="K60" s="113">
        <v>350000</v>
      </c>
      <c r="L60" s="114">
        <v>300000</v>
      </c>
    </row>
    <row r="61" spans="1:54" s="165" customFormat="1">
      <c r="A61" s="161">
        <v>45947</v>
      </c>
      <c r="B61" s="161" t="s">
        <v>41</v>
      </c>
      <c r="C61" s="162" t="s">
        <v>147</v>
      </c>
      <c r="D61" s="161" t="s">
        <v>147</v>
      </c>
      <c r="E61" s="162">
        <v>1</v>
      </c>
      <c r="F61" s="163" t="s">
        <v>164</v>
      </c>
      <c r="G61" s="164">
        <f>31291.02+4829.1+7585.22+6600</f>
        <v>50305.340000000004</v>
      </c>
      <c r="H61" s="164"/>
      <c r="I61" s="164"/>
      <c r="J61" s="164"/>
      <c r="K61" s="164">
        <v>0</v>
      </c>
      <c r="L61" s="164"/>
      <c r="M61" s="166">
        <f>G61</f>
        <v>50305.340000000004</v>
      </c>
      <c r="N61" s="184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</row>
    <row r="62" spans="1:54">
      <c r="A62" s="30">
        <v>45951</v>
      </c>
      <c r="B62" s="31" t="s">
        <v>41</v>
      </c>
      <c r="C62" s="31" t="s">
        <v>58</v>
      </c>
      <c r="D62" s="31" t="s">
        <v>59</v>
      </c>
      <c r="E62" s="31"/>
      <c r="F62" s="32" t="s">
        <v>165</v>
      </c>
      <c r="G62" s="33">
        <v>16000</v>
      </c>
      <c r="H62" s="33"/>
      <c r="I62" s="33"/>
      <c r="J62" s="33"/>
      <c r="K62" s="33"/>
      <c r="L62" s="33">
        <f>G62</f>
        <v>16000</v>
      </c>
    </row>
    <row r="63" spans="1:54" s="165" customFormat="1">
      <c r="A63" s="161">
        <v>45954</v>
      </c>
      <c r="B63" s="161" t="s">
        <v>41</v>
      </c>
      <c r="C63" s="162" t="s">
        <v>147</v>
      </c>
      <c r="D63" s="161" t="s">
        <v>147</v>
      </c>
      <c r="E63" s="162">
        <v>1</v>
      </c>
      <c r="F63" s="163" t="s">
        <v>166</v>
      </c>
      <c r="G63" s="164">
        <f>54138.37+33500+17314.66+26000-5187.61</f>
        <v>125765.42</v>
      </c>
      <c r="H63" s="164"/>
      <c r="I63" s="164"/>
      <c r="J63" s="164"/>
      <c r="K63" s="164">
        <v>0</v>
      </c>
      <c r="L63" s="164"/>
      <c r="M63" s="166">
        <f>G63</f>
        <v>125765.42</v>
      </c>
      <c r="N63" s="184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</row>
    <row r="64" spans="1:54">
      <c r="A64" s="35">
        <v>45958</v>
      </c>
      <c r="B64" s="152" t="s">
        <v>41</v>
      </c>
      <c r="C64" s="152" t="s">
        <v>30</v>
      </c>
      <c r="D64" s="153" t="s">
        <v>33</v>
      </c>
      <c r="E64" s="152">
        <v>400</v>
      </c>
      <c r="F64" s="154" t="s">
        <v>34</v>
      </c>
      <c r="G64" s="158">
        <v>62400</v>
      </c>
      <c r="H64" s="156"/>
      <c r="I64" s="39"/>
      <c r="J64" s="39"/>
      <c r="K64" s="33"/>
      <c r="L64" s="33"/>
    </row>
    <row r="65" spans="1:13">
      <c r="A65" s="35">
        <v>45958</v>
      </c>
      <c r="B65" s="48" t="s">
        <v>41</v>
      </c>
      <c r="C65" s="151" t="s">
        <v>31</v>
      </c>
      <c r="D65" s="47" t="s">
        <v>33</v>
      </c>
      <c r="E65" s="48">
        <v>400</v>
      </c>
      <c r="F65" s="155" t="s">
        <v>115</v>
      </c>
      <c r="G65" s="159">
        <v>143200</v>
      </c>
      <c r="H65" s="157"/>
      <c r="I65" s="51"/>
      <c r="J65" s="51"/>
      <c r="K65" s="33"/>
      <c r="L65" s="33"/>
    </row>
    <row r="66" spans="1:13">
      <c r="A66" s="35">
        <v>45958</v>
      </c>
      <c r="B66" s="48" t="s">
        <v>41</v>
      </c>
      <c r="C66" s="151" t="s">
        <v>31</v>
      </c>
      <c r="D66" s="47" t="s">
        <v>33</v>
      </c>
      <c r="E66" s="48">
        <v>200</v>
      </c>
      <c r="F66" s="155" t="s">
        <v>169</v>
      </c>
      <c r="G66" s="159">
        <v>71100</v>
      </c>
      <c r="H66" s="157"/>
      <c r="I66" s="51"/>
      <c r="J66" s="51"/>
      <c r="K66" s="33">
        <f>G64+G65+G66</f>
        <v>276700</v>
      </c>
      <c r="L66" s="33"/>
    </row>
    <row r="67" spans="1:13">
      <c r="A67" s="35"/>
      <c r="B67" s="152"/>
      <c r="C67" s="152"/>
      <c r="D67" s="153"/>
      <c r="E67" s="152"/>
      <c r="F67" s="154"/>
      <c r="G67" s="158"/>
      <c r="H67" s="156"/>
      <c r="I67" s="39"/>
      <c r="J67" s="39"/>
      <c r="K67" s="33"/>
      <c r="L67" s="33"/>
    </row>
    <row r="68" spans="1:13">
      <c r="A68" s="150"/>
      <c r="B68" s="48"/>
      <c r="C68" s="151"/>
      <c r="D68" s="47"/>
      <c r="E68" s="48"/>
      <c r="F68" s="155"/>
      <c r="G68" s="159"/>
      <c r="H68" s="157"/>
      <c r="I68" s="51"/>
      <c r="J68" s="51"/>
      <c r="K68" s="33"/>
      <c r="L68" s="33"/>
      <c r="M68" s="131">
        <f>203823-G63+5187.61</f>
        <v>83245.19</v>
      </c>
    </row>
    <row r="69" spans="1:13">
      <c r="A69" s="47"/>
      <c r="B69" s="48"/>
      <c r="C69" s="48"/>
      <c r="D69" s="47"/>
      <c r="E69" s="48"/>
      <c r="F69" s="155"/>
      <c r="G69" s="160"/>
      <c r="H69" s="156"/>
      <c r="I69" s="39"/>
      <c r="J69" s="39"/>
      <c r="K69" s="50"/>
      <c r="L69" s="50"/>
    </row>
    <row r="70" spans="1:13">
      <c r="A70" s="30"/>
      <c r="B70" s="31"/>
      <c r="C70" s="31"/>
      <c r="D70" s="30"/>
      <c r="E70" s="31"/>
      <c r="F70" s="32"/>
      <c r="G70" s="45"/>
      <c r="H70" s="51"/>
      <c r="I70" s="51"/>
      <c r="J70" s="51"/>
      <c r="K70" s="33"/>
      <c r="L70" s="33"/>
    </row>
    <row r="71" spans="1:13">
      <c r="A71" s="30"/>
      <c r="B71" s="30"/>
      <c r="C71" s="31"/>
      <c r="D71" s="30"/>
      <c r="E71" s="31"/>
      <c r="F71" s="32"/>
      <c r="G71" s="33"/>
      <c r="H71" s="34"/>
      <c r="I71" s="34"/>
      <c r="J71" s="34"/>
      <c r="K71" s="33"/>
      <c r="L71" s="33"/>
    </row>
    <row r="72" spans="1:13">
      <c r="A72" s="30"/>
      <c r="B72" s="31"/>
      <c r="C72" s="31"/>
      <c r="D72" s="31"/>
      <c r="E72" s="31"/>
      <c r="F72" s="32"/>
      <c r="G72" s="33"/>
      <c r="H72" s="33"/>
      <c r="I72" s="33"/>
      <c r="J72" s="33"/>
      <c r="K72" s="33"/>
      <c r="L72" s="33"/>
    </row>
    <row r="73" spans="1:13">
      <c r="A73" s="47"/>
      <c r="B73" s="48"/>
      <c r="C73" s="31"/>
      <c r="D73" s="30"/>
      <c r="E73" s="31"/>
      <c r="F73" s="32"/>
      <c r="G73" s="50"/>
      <c r="H73" s="39"/>
      <c r="I73" s="39"/>
      <c r="J73" s="39"/>
      <c r="K73" s="50"/>
      <c r="L73" s="50"/>
    </row>
    <row r="74" spans="1:13">
      <c r="A74" s="35"/>
      <c r="B74" s="37"/>
      <c r="C74" s="48"/>
      <c r="D74" s="47"/>
      <c r="E74" s="48"/>
      <c r="F74" s="49"/>
      <c r="G74" s="52"/>
      <c r="H74" s="39"/>
      <c r="I74" s="39"/>
      <c r="J74" s="39"/>
      <c r="K74" s="52"/>
      <c r="L74" s="52"/>
    </row>
    <row r="75" spans="1:13" s="149" customFormat="1">
      <c r="A75" s="145"/>
      <c r="B75" s="48"/>
      <c r="C75" s="48"/>
      <c r="D75" s="145"/>
      <c r="E75" s="48"/>
      <c r="F75" s="146"/>
      <c r="G75" s="50"/>
      <c r="H75" s="148"/>
      <c r="I75" s="148"/>
      <c r="J75" s="148"/>
      <c r="K75" s="147"/>
      <c r="L75" s="50"/>
    </row>
    <row r="76" spans="1:13">
      <c r="A76" s="47"/>
      <c r="B76" s="42"/>
      <c r="C76" s="48"/>
      <c r="D76" s="47"/>
      <c r="E76" s="48"/>
      <c r="F76" s="49"/>
      <c r="G76" s="45"/>
      <c r="H76" s="51"/>
      <c r="I76" s="51"/>
      <c r="J76" s="51"/>
      <c r="K76" s="45"/>
      <c r="L76" s="45"/>
    </row>
    <row r="77" spans="1:13">
      <c r="A77" s="30"/>
      <c r="B77" s="42"/>
      <c r="C77" s="31"/>
      <c r="D77" s="30"/>
      <c r="E77" s="31"/>
      <c r="F77" s="32"/>
      <c r="G77" s="33"/>
      <c r="H77" s="34"/>
      <c r="I77" s="34"/>
      <c r="J77" s="34"/>
      <c r="K77" s="33"/>
      <c r="L77" s="33"/>
    </row>
    <row r="78" spans="1:13">
      <c r="A78" s="30"/>
      <c r="B78" s="42"/>
      <c r="C78" s="31"/>
      <c r="D78" s="30"/>
      <c r="E78" s="31"/>
      <c r="F78" s="32"/>
      <c r="G78" s="33"/>
      <c r="H78" s="34"/>
      <c r="I78" s="34"/>
      <c r="J78" s="34"/>
      <c r="K78" s="33"/>
      <c r="L78" s="33"/>
    </row>
    <row r="79" spans="1:13">
      <c r="A79" s="47"/>
      <c r="B79" s="48"/>
      <c r="C79" s="48"/>
      <c r="D79" s="47"/>
      <c r="E79" s="48"/>
      <c r="F79" s="49"/>
      <c r="G79" s="50"/>
      <c r="H79" s="39"/>
      <c r="I79" s="39"/>
      <c r="J79" s="39"/>
      <c r="K79" s="50"/>
      <c r="L79" s="50"/>
    </row>
    <row r="80" spans="1:13">
      <c r="A80" s="47"/>
      <c r="B80" s="48"/>
      <c r="C80" s="48"/>
      <c r="D80" s="47"/>
      <c r="E80" s="48"/>
      <c r="F80" s="49"/>
      <c r="G80" s="50"/>
      <c r="H80" s="39"/>
      <c r="I80" s="39"/>
      <c r="J80" s="39"/>
      <c r="K80" s="50"/>
      <c r="L80" s="50"/>
    </row>
    <row r="81" spans="1:54">
      <c r="A81" s="47"/>
      <c r="B81" s="48"/>
      <c r="C81" s="31"/>
      <c r="D81" s="30"/>
      <c r="E81" s="31"/>
      <c r="F81" s="32"/>
      <c r="G81" s="50"/>
      <c r="H81" s="39"/>
      <c r="I81" s="39"/>
      <c r="J81" s="39"/>
      <c r="K81" s="50"/>
      <c r="L81" s="50"/>
    </row>
    <row r="82" spans="1:54">
      <c r="A82" s="30"/>
      <c r="B82" s="42"/>
      <c r="C82" s="31"/>
      <c r="D82" s="30"/>
      <c r="E82" s="31"/>
      <c r="F82" s="32"/>
      <c r="G82" s="33"/>
      <c r="H82" s="34"/>
      <c r="I82" s="34"/>
      <c r="J82" s="34"/>
      <c r="K82" s="33"/>
      <c r="L82" s="33"/>
    </row>
    <row r="83" spans="1:54">
      <c r="A83" s="40"/>
      <c r="B83" s="31"/>
      <c r="C83" s="42"/>
      <c r="D83" s="40"/>
      <c r="E83" s="42"/>
      <c r="F83" s="43"/>
      <c r="G83" s="33"/>
      <c r="H83" s="44"/>
      <c r="I83" s="44"/>
      <c r="J83" s="44"/>
      <c r="K83" s="33"/>
      <c r="L83" s="50"/>
    </row>
    <row r="84" spans="1:54">
      <c r="A84" s="30"/>
      <c r="B84" s="30"/>
      <c r="C84" s="31"/>
      <c r="D84" s="30"/>
      <c r="E84" s="31"/>
      <c r="F84" s="32"/>
      <c r="G84" s="33"/>
      <c r="H84" s="34"/>
      <c r="I84" s="34"/>
      <c r="J84" s="34"/>
      <c r="K84" s="33"/>
      <c r="L84" s="33"/>
    </row>
    <row r="85" spans="1:54">
      <c r="A85" s="30"/>
      <c r="B85" s="46"/>
      <c r="C85" s="31"/>
      <c r="D85" s="30"/>
      <c r="E85" s="31"/>
      <c r="F85" s="32"/>
      <c r="G85" s="33"/>
      <c r="H85" s="34"/>
      <c r="I85" s="34"/>
      <c r="J85" s="34"/>
      <c r="K85" s="33"/>
      <c r="L85" s="33"/>
    </row>
    <row r="86" spans="1:54">
      <c r="A86" s="35"/>
      <c r="B86" s="37"/>
      <c r="C86" s="48"/>
      <c r="D86" s="47"/>
      <c r="E86" s="48"/>
      <c r="F86" s="49"/>
      <c r="G86" s="52"/>
      <c r="H86" s="39"/>
      <c r="I86" s="39"/>
      <c r="J86" s="39"/>
      <c r="K86" s="52"/>
      <c r="L86" s="52"/>
    </row>
    <row r="87" spans="1:54" s="149" customFormat="1">
      <c r="A87" s="145"/>
      <c r="B87" s="48"/>
      <c r="C87" s="48"/>
      <c r="D87" s="145"/>
      <c r="E87" s="48"/>
      <c r="F87" s="146"/>
      <c r="G87" s="50"/>
      <c r="H87" s="148"/>
      <c r="I87" s="148"/>
      <c r="J87" s="148"/>
      <c r="K87" s="147"/>
      <c r="L87" s="50"/>
    </row>
    <row r="88" spans="1:54">
      <c r="A88" s="47"/>
      <c r="B88" s="48"/>
      <c r="C88" s="48"/>
      <c r="D88" s="47"/>
      <c r="E88" s="48"/>
      <c r="F88" s="49"/>
      <c r="G88" s="50"/>
      <c r="H88" s="39"/>
      <c r="I88" s="39"/>
      <c r="J88" s="39"/>
      <c r="K88" s="50"/>
      <c r="L88" s="50"/>
    </row>
    <row r="89" spans="1:54" s="165" customFormat="1">
      <c r="A89" s="161"/>
      <c r="B89" s="161"/>
      <c r="C89" s="162"/>
      <c r="D89" s="161"/>
      <c r="E89" s="162"/>
      <c r="F89" s="163"/>
      <c r="G89" s="164"/>
      <c r="H89" s="164"/>
      <c r="I89" s="164"/>
      <c r="J89" s="164"/>
      <c r="K89" s="164"/>
      <c r="L89" s="164"/>
      <c r="M89" s="166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</row>
    <row r="90" spans="1:54">
      <c r="A90" s="30"/>
      <c r="B90" s="31"/>
      <c r="C90" s="31"/>
      <c r="D90" s="31"/>
      <c r="E90" s="31"/>
      <c r="F90" s="32"/>
      <c r="G90" s="33"/>
      <c r="H90" s="33"/>
      <c r="I90" s="33"/>
      <c r="J90" s="33"/>
      <c r="K90" s="33"/>
      <c r="L90" s="33"/>
    </row>
    <row r="91" spans="1:54">
      <c r="A91" s="66"/>
      <c r="B91" s="66"/>
      <c r="C91" s="67"/>
      <c r="D91" s="66"/>
      <c r="E91" s="67"/>
      <c r="F91" s="68"/>
      <c r="G91" s="34"/>
      <c r="H91" s="34"/>
      <c r="I91" s="34"/>
      <c r="J91" s="34"/>
      <c r="K91" s="34"/>
      <c r="L91" s="34"/>
    </row>
    <row r="92" spans="1:54">
      <c r="A92" s="47"/>
      <c r="B92" s="48"/>
      <c r="C92" s="31"/>
      <c r="D92" s="30"/>
      <c r="E92" s="31"/>
      <c r="F92" s="32"/>
      <c r="G92" s="50"/>
      <c r="H92" s="39"/>
      <c r="I92" s="39"/>
      <c r="J92" s="39"/>
      <c r="K92" s="50"/>
      <c r="L92" s="50"/>
    </row>
    <row r="93" spans="1:54">
      <c r="A93" s="35"/>
      <c r="B93" s="37"/>
      <c r="C93" s="48"/>
      <c r="D93" s="47"/>
      <c r="E93" s="48"/>
      <c r="F93" s="49"/>
      <c r="G93" s="52"/>
      <c r="H93" s="39"/>
      <c r="I93" s="39"/>
      <c r="J93" s="39"/>
      <c r="K93" s="52"/>
      <c r="L93" s="52"/>
    </row>
    <row r="94" spans="1:54" s="149" customFormat="1">
      <c r="A94" s="145"/>
      <c r="B94" s="48"/>
      <c r="C94" s="48"/>
      <c r="D94" s="145"/>
      <c r="E94" s="48"/>
      <c r="F94" s="146"/>
      <c r="G94" s="50"/>
      <c r="H94" s="148"/>
      <c r="I94" s="148"/>
      <c r="J94" s="148"/>
      <c r="K94" s="147"/>
      <c r="L94" s="50"/>
    </row>
    <row r="95" spans="1:54">
      <c r="A95" s="40"/>
      <c r="B95" s="31"/>
      <c r="C95" s="40"/>
      <c r="D95" s="40"/>
      <c r="E95" s="42"/>
      <c r="F95" s="43"/>
      <c r="G95" s="33"/>
      <c r="H95" s="44"/>
      <c r="I95" s="44"/>
      <c r="J95" s="44"/>
      <c r="K95" s="33"/>
      <c r="L95" s="40"/>
    </row>
    <row r="96" spans="1:54" s="165" customFormat="1" ht="15" thickBot="1">
      <c r="A96" s="161"/>
      <c r="B96" s="161"/>
      <c r="C96" s="162"/>
      <c r="D96" s="161"/>
      <c r="E96" s="162"/>
      <c r="F96" s="163"/>
      <c r="G96" s="164"/>
      <c r="H96" s="164"/>
      <c r="I96" s="164"/>
      <c r="J96" s="164"/>
      <c r="K96" s="164"/>
      <c r="L96" s="164"/>
      <c r="M96" s="166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</row>
    <row r="97" spans="1:12">
      <c r="A97" s="103"/>
      <c r="B97" s="104"/>
      <c r="C97" s="105"/>
      <c r="D97" s="104"/>
      <c r="E97" s="105"/>
      <c r="F97" s="106"/>
      <c r="G97" s="107"/>
      <c r="H97" s="107"/>
      <c r="I97" s="107"/>
      <c r="J97" s="107"/>
      <c r="K97" s="107"/>
      <c r="L97" s="108"/>
    </row>
    <row r="98" spans="1:12" ht="15" thickBot="1">
      <c r="A98" s="109"/>
      <c r="B98" s="110"/>
      <c r="C98" s="111"/>
      <c r="D98" s="110"/>
      <c r="E98" s="111"/>
      <c r="F98" s="112"/>
      <c r="G98" s="113"/>
      <c r="H98" s="113"/>
      <c r="I98" s="113"/>
      <c r="J98" s="113"/>
      <c r="K98" s="113"/>
      <c r="L98" s="114"/>
    </row>
    <row r="99" spans="1:12">
      <c r="A99" s="47"/>
      <c r="B99" s="48" t="s">
        <v>41</v>
      </c>
      <c r="C99" s="48"/>
      <c r="D99" s="47"/>
      <c r="E99" s="48"/>
      <c r="F99" s="49"/>
      <c r="G99" s="50"/>
      <c r="H99" s="34"/>
      <c r="I99" s="34"/>
      <c r="J99" s="34"/>
      <c r="K99" s="50"/>
      <c r="L99" s="50"/>
    </row>
    <row r="100" spans="1:12">
      <c r="A100" s="47"/>
      <c r="B100" s="48" t="s">
        <v>41</v>
      </c>
      <c r="C100" s="48"/>
      <c r="D100" s="47"/>
      <c r="E100" s="48"/>
      <c r="F100" s="49"/>
      <c r="G100" s="50"/>
      <c r="H100" s="39"/>
      <c r="I100" s="39"/>
      <c r="J100" s="39"/>
      <c r="K100" s="50"/>
      <c r="L100" s="50"/>
    </row>
    <row r="101" spans="1:12">
      <c r="A101" s="35"/>
      <c r="B101" s="37" t="s">
        <v>41</v>
      </c>
      <c r="C101" s="37"/>
      <c r="D101" s="35"/>
      <c r="E101" s="37"/>
      <c r="F101" s="38"/>
      <c r="G101" s="52"/>
      <c r="H101" s="34"/>
      <c r="I101" s="34"/>
      <c r="J101" s="34"/>
      <c r="K101" s="52"/>
      <c r="L101" s="52"/>
    </row>
    <row r="102" spans="1:12">
      <c r="A102" s="47"/>
      <c r="B102" s="48" t="s">
        <v>41</v>
      </c>
      <c r="C102" s="48"/>
      <c r="D102" s="47"/>
      <c r="E102" s="48"/>
      <c r="F102" s="49"/>
      <c r="G102" s="50"/>
      <c r="H102" s="34"/>
      <c r="I102" s="34"/>
      <c r="J102" s="34"/>
      <c r="K102" s="50"/>
      <c r="L102" s="50"/>
    </row>
    <row r="103" spans="1:12">
      <c r="A103" s="47"/>
      <c r="B103" s="48" t="s">
        <v>41</v>
      </c>
      <c r="C103" s="48"/>
      <c r="D103" s="47"/>
      <c r="E103" s="48"/>
      <c r="F103" s="49"/>
      <c r="G103" s="50"/>
      <c r="H103" s="39"/>
      <c r="I103" s="39"/>
      <c r="J103" s="39"/>
      <c r="K103" s="50"/>
      <c r="L103" s="50"/>
    </row>
    <row r="104" spans="1:12">
      <c r="A104" s="47"/>
      <c r="B104" s="48" t="s">
        <v>41</v>
      </c>
      <c r="C104" s="48"/>
      <c r="D104" s="47"/>
      <c r="E104" s="48"/>
      <c r="F104" s="49"/>
      <c r="G104" s="50"/>
      <c r="H104" s="39"/>
      <c r="I104" s="39"/>
      <c r="J104" s="39"/>
      <c r="K104" s="50"/>
      <c r="L104" s="50"/>
    </row>
    <row r="105" spans="1:12">
      <c r="A105" s="30"/>
      <c r="B105" s="31" t="s">
        <v>41</v>
      </c>
      <c r="C105" s="31"/>
      <c r="D105" s="31"/>
      <c r="E105" s="31"/>
      <c r="F105" s="32"/>
      <c r="G105" s="33"/>
      <c r="H105" s="33"/>
      <c r="I105" s="33"/>
      <c r="J105" s="33"/>
      <c r="K105" s="33"/>
      <c r="L105" s="33"/>
    </row>
    <row r="106" spans="1:12">
      <c r="A106" s="35"/>
      <c r="B106" s="31" t="s">
        <v>41</v>
      </c>
      <c r="C106" s="37"/>
      <c r="D106" s="35"/>
      <c r="E106" s="37"/>
      <c r="F106" s="38"/>
      <c r="G106" s="33"/>
      <c r="H106" s="39"/>
      <c r="I106" s="39"/>
      <c r="J106" s="39"/>
      <c r="K106" s="33"/>
      <c r="L106" s="33"/>
    </row>
    <row r="107" spans="1:12">
      <c r="A107" s="47"/>
      <c r="B107" s="31" t="s">
        <v>41</v>
      </c>
      <c r="C107" s="48"/>
      <c r="D107" s="47"/>
      <c r="E107" s="48"/>
      <c r="F107" s="49"/>
      <c r="G107" s="33"/>
      <c r="H107" s="51"/>
      <c r="I107" s="51"/>
      <c r="J107" s="51"/>
      <c r="K107" s="33"/>
      <c r="L107" s="33"/>
    </row>
    <row r="108" spans="1:12">
      <c r="A108" s="40"/>
      <c r="B108" s="31" t="s">
        <v>41</v>
      </c>
      <c r="C108" s="42"/>
      <c r="D108" s="40"/>
      <c r="E108" s="42"/>
      <c r="F108" s="43"/>
      <c r="G108" s="33"/>
      <c r="H108" s="44"/>
      <c r="I108" s="44"/>
      <c r="J108" s="44"/>
      <c r="K108" s="33"/>
      <c r="L108" s="33"/>
    </row>
    <row r="109" spans="1:12">
      <c r="A109" s="40"/>
      <c r="B109" s="31" t="s">
        <v>41</v>
      </c>
      <c r="C109" s="42"/>
      <c r="D109" s="40"/>
      <c r="E109" s="42"/>
      <c r="F109" s="43"/>
      <c r="G109" s="33"/>
      <c r="H109" s="44"/>
      <c r="I109" s="44"/>
      <c r="J109" s="44"/>
      <c r="K109" s="33"/>
      <c r="L109" s="33"/>
    </row>
    <row r="110" spans="1:12">
      <c r="A110" s="40"/>
      <c r="B110" s="31" t="s">
        <v>41</v>
      </c>
      <c r="C110" s="42"/>
      <c r="D110" s="40"/>
      <c r="E110" s="42"/>
      <c r="F110" s="43"/>
      <c r="G110" s="33"/>
      <c r="H110" s="44"/>
      <c r="I110" s="44"/>
      <c r="J110" s="44"/>
      <c r="K110" s="33"/>
      <c r="L110" s="40"/>
    </row>
    <row r="111" spans="1:12" ht="15" thickBot="1">
      <c r="A111" s="40"/>
      <c r="B111" s="31" t="s">
        <v>41</v>
      </c>
      <c r="C111" s="42"/>
      <c r="D111" s="40"/>
      <c r="E111" s="42"/>
      <c r="F111" s="43"/>
      <c r="G111" s="33"/>
      <c r="H111" s="44"/>
      <c r="I111" s="44"/>
      <c r="J111" s="44"/>
      <c r="K111" s="33"/>
      <c r="L111" s="40"/>
    </row>
    <row r="112" spans="1:12">
      <c r="A112" s="103"/>
      <c r="B112" s="104" t="s">
        <v>41</v>
      </c>
      <c r="C112" s="105"/>
      <c r="D112" s="104"/>
      <c r="E112" s="105"/>
      <c r="F112" s="106"/>
      <c r="G112" s="107"/>
      <c r="H112" s="107"/>
      <c r="I112" s="107"/>
      <c r="J112" s="107"/>
      <c r="K112" s="107"/>
      <c r="L112" s="108"/>
    </row>
    <row r="113" spans="1:12" ht="15" thickBot="1">
      <c r="A113" s="109"/>
      <c r="B113" s="110" t="s">
        <v>41</v>
      </c>
      <c r="C113" s="111"/>
      <c r="D113" s="110"/>
      <c r="E113" s="111"/>
      <c r="F113" s="112"/>
      <c r="G113" s="113"/>
      <c r="H113" s="113"/>
      <c r="I113" s="113"/>
      <c r="J113" s="113"/>
      <c r="K113" s="113"/>
      <c r="L113" s="114"/>
    </row>
    <row r="114" spans="1:12">
      <c r="A114" s="66"/>
      <c r="B114" s="66" t="s">
        <v>41</v>
      </c>
      <c r="C114" s="67"/>
      <c r="D114" s="66"/>
      <c r="E114" s="67"/>
      <c r="F114" s="68"/>
      <c r="G114" s="34"/>
      <c r="H114" s="34"/>
      <c r="I114" s="34"/>
      <c r="J114" s="34"/>
      <c r="K114" s="34"/>
      <c r="L114" s="34"/>
    </row>
    <row r="115" spans="1:12">
      <c r="A115" s="40"/>
      <c r="B115" s="31" t="s">
        <v>41</v>
      </c>
      <c r="C115" s="40"/>
      <c r="D115" s="40"/>
      <c r="E115" s="42"/>
      <c r="F115" s="43"/>
      <c r="G115" s="33"/>
      <c r="H115" s="44"/>
      <c r="I115" s="44"/>
      <c r="J115" s="44"/>
      <c r="K115" s="33"/>
      <c r="L115" s="40"/>
    </row>
    <row r="116" spans="1:12">
      <c r="A116" s="30"/>
      <c r="B116" s="31" t="s">
        <v>41</v>
      </c>
      <c r="C116" s="31"/>
      <c r="D116" s="31"/>
      <c r="E116" s="31"/>
      <c r="F116" s="32"/>
      <c r="G116" s="33"/>
      <c r="H116" s="33"/>
      <c r="I116" s="33"/>
      <c r="J116" s="33"/>
      <c r="K116" s="33"/>
      <c r="L116" s="33"/>
    </row>
    <row r="117" spans="1:12">
      <c r="A117" s="30"/>
      <c r="B117" s="30" t="s">
        <v>41</v>
      </c>
      <c r="C117" s="31"/>
      <c r="D117" s="30"/>
      <c r="E117" s="31"/>
      <c r="F117" s="32"/>
      <c r="G117" s="33"/>
      <c r="H117" s="34"/>
      <c r="I117" s="34"/>
      <c r="J117" s="34"/>
      <c r="K117" s="33"/>
      <c r="L117" s="33"/>
    </row>
    <row r="118" spans="1:12">
      <c r="A118" s="30"/>
      <c r="B118" s="31" t="s">
        <v>41</v>
      </c>
      <c r="C118" s="31"/>
      <c r="D118" s="31"/>
      <c r="E118" s="31"/>
      <c r="F118" s="32"/>
      <c r="G118" s="33"/>
      <c r="H118" s="33"/>
      <c r="I118" s="33"/>
      <c r="J118" s="33"/>
      <c r="K118" s="33"/>
      <c r="L118" s="33"/>
    </row>
    <row r="119" spans="1:12">
      <c r="A119" s="30"/>
      <c r="B119" s="46" t="s">
        <v>41</v>
      </c>
      <c r="C119" s="31"/>
      <c r="D119" s="30"/>
      <c r="E119" s="31"/>
      <c r="F119" s="32"/>
      <c r="G119" s="33"/>
      <c r="H119" s="34"/>
      <c r="I119" s="34"/>
      <c r="J119" s="34"/>
      <c r="K119" s="33"/>
      <c r="L119" s="33"/>
    </row>
    <row r="120" spans="1:12">
      <c r="A120" s="40"/>
      <c r="B120" s="31" t="s">
        <v>41</v>
      </c>
      <c r="C120" s="40"/>
      <c r="D120" s="40"/>
      <c r="E120" s="42"/>
      <c r="F120" s="43"/>
      <c r="G120" s="33"/>
      <c r="H120" s="44"/>
      <c r="I120" s="44"/>
      <c r="J120" s="44"/>
      <c r="K120" s="33"/>
      <c r="L120" s="40"/>
    </row>
    <row r="121" spans="1:12">
      <c r="A121" s="47"/>
      <c r="B121" s="48" t="s">
        <v>41</v>
      </c>
      <c r="C121" s="48"/>
      <c r="D121" s="47"/>
      <c r="E121" s="48"/>
      <c r="F121" s="49"/>
      <c r="G121" s="50"/>
      <c r="H121" s="39"/>
      <c r="I121" s="39"/>
      <c r="J121" s="39"/>
      <c r="K121" s="50"/>
      <c r="L121" s="50"/>
    </row>
    <row r="122" spans="1:12">
      <c r="A122" s="40"/>
      <c r="B122" s="31" t="s">
        <v>41</v>
      </c>
      <c r="C122" s="42"/>
      <c r="D122" s="40"/>
      <c r="E122" s="42"/>
      <c r="F122" s="43"/>
      <c r="G122" s="33"/>
      <c r="H122" s="44"/>
      <c r="I122" s="44"/>
      <c r="J122" s="44"/>
      <c r="K122" s="33"/>
      <c r="L122" s="40"/>
    </row>
    <row r="123" spans="1:12">
      <c r="A123" s="35"/>
      <c r="B123" s="31" t="s">
        <v>41</v>
      </c>
      <c r="C123" s="37"/>
      <c r="D123" s="35"/>
      <c r="E123" s="37"/>
      <c r="F123" s="38"/>
      <c r="G123" s="33"/>
      <c r="H123" s="39"/>
      <c r="I123" s="39"/>
      <c r="J123" s="39"/>
      <c r="K123" s="33"/>
      <c r="L123" s="33"/>
    </row>
    <row r="124" spans="1:12">
      <c r="A124" s="47"/>
      <c r="B124" s="31" t="s">
        <v>41</v>
      </c>
      <c r="C124" s="48"/>
      <c r="D124" s="47"/>
      <c r="E124" s="48"/>
      <c r="F124" s="49"/>
      <c r="G124" s="33"/>
      <c r="H124" s="51"/>
      <c r="I124" s="51"/>
      <c r="J124" s="51"/>
      <c r="K124" s="33"/>
      <c r="L124" s="33"/>
    </row>
    <row r="125" spans="1:12">
      <c r="A125" s="40"/>
      <c r="B125" s="128" t="s">
        <v>41</v>
      </c>
      <c r="C125" s="48"/>
      <c r="D125" s="48"/>
      <c r="E125" s="48"/>
      <c r="F125" s="130"/>
      <c r="G125" s="129"/>
      <c r="H125" s="44"/>
      <c r="I125" s="44"/>
      <c r="J125" s="44"/>
      <c r="K125" s="33"/>
      <c r="L125" s="33"/>
    </row>
    <row r="126" spans="1:12">
      <c r="A126" s="35"/>
      <c r="B126" s="31" t="s">
        <v>41</v>
      </c>
      <c r="C126" s="42"/>
      <c r="D126" s="40"/>
      <c r="E126" s="42"/>
      <c r="F126" s="43"/>
      <c r="G126" s="33"/>
      <c r="H126" s="39"/>
      <c r="I126" s="39"/>
      <c r="J126" s="39"/>
      <c r="K126" s="33"/>
      <c r="L126" s="33"/>
    </row>
    <row r="127" spans="1:12">
      <c r="A127" s="40"/>
      <c r="B127" s="31" t="s">
        <v>41</v>
      </c>
      <c r="C127" s="42"/>
      <c r="D127" s="40"/>
      <c r="E127" s="42"/>
      <c r="F127" s="43"/>
      <c r="G127" s="33"/>
      <c r="H127" s="44"/>
      <c r="I127" s="44"/>
      <c r="J127" s="44"/>
      <c r="K127" s="33"/>
      <c r="L127" s="33"/>
    </row>
    <row r="128" spans="1:12" ht="13.5" customHeight="1">
      <c r="A128" s="35"/>
      <c r="B128" s="31" t="s">
        <v>41</v>
      </c>
      <c r="C128" s="42"/>
      <c r="D128" s="40"/>
      <c r="E128" s="42"/>
      <c r="F128" s="43"/>
      <c r="G128" s="33"/>
      <c r="H128" s="39"/>
      <c r="I128" s="39"/>
      <c r="J128" s="39"/>
      <c r="K128" s="33"/>
      <c r="L128" s="33"/>
    </row>
    <row r="129" spans="1:12" ht="13.5" customHeight="1">
      <c r="A129" s="35"/>
      <c r="B129" s="31" t="s">
        <v>41</v>
      </c>
      <c r="C129" s="42"/>
      <c r="D129" s="40"/>
      <c r="E129" s="42"/>
      <c r="F129" s="43"/>
      <c r="G129" s="33"/>
      <c r="H129" s="39"/>
      <c r="I129" s="39"/>
      <c r="J129" s="39"/>
      <c r="K129" s="33"/>
      <c r="L129" s="33"/>
    </row>
    <row r="130" spans="1:12" ht="13.5" customHeight="1">
      <c r="A130" s="47"/>
      <c r="B130" s="48"/>
      <c r="C130" s="48"/>
      <c r="D130" s="47"/>
      <c r="E130" s="48"/>
      <c r="F130" s="49"/>
      <c r="G130" s="50"/>
      <c r="H130" s="39"/>
      <c r="I130" s="39"/>
      <c r="J130" s="39"/>
      <c r="K130" s="50"/>
      <c r="L130" s="50"/>
    </row>
    <row r="131" spans="1:12">
      <c r="A131" s="47"/>
      <c r="B131" s="48"/>
      <c r="C131" s="48"/>
      <c r="D131" s="47"/>
      <c r="E131" s="48"/>
      <c r="F131" s="49"/>
      <c r="G131" s="50"/>
      <c r="H131" s="39"/>
      <c r="I131" s="39"/>
      <c r="J131" s="39"/>
      <c r="K131" s="50"/>
      <c r="L131" s="50"/>
    </row>
    <row r="132" spans="1:12">
      <c r="A132" s="47"/>
      <c r="B132" s="48"/>
      <c r="C132" s="48"/>
      <c r="D132" s="47"/>
      <c r="E132" s="48"/>
      <c r="F132" s="49"/>
      <c r="G132" s="50"/>
      <c r="H132" s="39"/>
      <c r="I132" s="39"/>
      <c r="J132" s="39"/>
      <c r="K132" s="50"/>
      <c r="L132" s="45"/>
    </row>
    <row r="133" spans="1:12">
      <c r="A133" s="30"/>
      <c r="B133" s="30"/>
      <c r="C133" s="31"/>
      <c r="D133" s="30"/>
      <c r="E133" s="31"/>
      <c r="F133" s="32"/>
      <c r="G133" s="33"/>
      <c r="H133" s="34"/>
      <c r="I133" s="34"/>
      <c r="J133" s="34"/>
      <c r="K133" s="33"/>
      <c r="L133" s="33"/>
    </row>
    <row r="134" spans="1:12">
      <c r="A134" s="35">
        <v>45854</v>
      </c>
      <c r="B134" s="36" t="s">
        <v>29</v>
      </c>
      <c r="C134" s="37" t="s">
        <v>30</v>
      </c>
      <c r="D134" s="35"/>
      <c r="E134" s="37"/>
      <c r="F134" s="38"/>
      <c r="G134" s="33"/>
      <c r="H134" s="39"/>
      <c r="I134" s="39"/>
      <c r="J134" s="39"/>
      <c r="K134" s="33"/>
      <c r="L134" s="33"/>
    </row>
    <row r="135" spans="1:12">
      <c r="A135" s="47">
        <v>45906</v>
      </c>
      <c r="B135" s="48" t="s">
        <v>41</v>
      </c>
      <c r="C135" s="37" t="s">
        <v>32</v>
      </c>
      <c r="D135" s="35" t="s">
        <v>119</v>
      </c>
      <c r="E135" s="37">
        <v>1</v>
      </c>
      <c r="F135" s="38" t="s">
        <v>36</v>
      </c>
      <c r="G135" s="50">
        <v>41000</v>
      </c>
      <c r="H135" s="39"/>
      <c r="I135" s="39"/>
      <c r="J135" s="39"/>
      <c r="K135" s="50">
        <v>41000</v>
      </c>
      <c r="L135" s="50"/>
    </row>
    <row r="136" spans="1:12">
      <c r="A136" s="35">
        <v>45907</v>
      </c>
      <c r="B136" s="152" t="s">
        <v>41</v>
      </c>
      <c r="C136" s="152" t="s">
        <v>30</v>
      </c>
      <c r="D136" s="153" t="s">
        <v>33</v>
      </c>
      <c r="E136" s="152">
        <v>400</v>
      </c>
      <c r="F136" s="154" t="s">
        <v>34</v>
      </c>
      <c r="G136" s="158">
        <v>62400</v>
      </c>
      <c r="H136" s="156"/>
      <c r="I136" s="39"/>
      <c r="J136" s="39"/>
      <c r="K136" s="33"/>
      <c r="L136" s="33"/>
    </row>
    <row r="137" spans="1:12">
      <c r="A137" s="150">
        <v>45907</v>
      </c>
      <c r="B137" s="48" t="s">
        <v>41</v>
      </c>
      <c r="C137" s="151" t="s">
        <v>31</v>
      </c>
      <c r="D137" s="47" t="s">
        <v>33</v>
      </c>
      <c r="E137" s="48">
        <v>400</v>
      </c>
      <c r="F137" s="155" t="s">
        <v>115</v>
      </c>
      <c r="G137" s="159">
        <v>143200</v>
      </c>
      <c r="H137" s="157"/>
      <c r="I137" s="51"/>
      <c r="J137" s="51"/>
      <c r="K137" s="33"/>
      <c r="L137" s="33"/>
    </row>
    <row r="138" spans="1:12">
      <c r="A138" s="47">
        <v>45907</v>
      </c>
      <c r="B138" s="48" t="s">
        <v>41</v>
      </c>
      <c r="C138" s="48" t="s">
        <v>32</v>
      </c>
      <c r="D138" s="47" t="s">
        <v>33</v>
      </c>
      <c r="E138" s="48">
        <v>2</v>
      </c>
      <c r="F138" s="155" t="s">
        <v>48</v>
      </c>
      <c r="G138" s="160">
        <v>51000</v>
      </c>
      <c r="H138" s="156"/>
      <c r="I138" s="39"/>
      <c r="J138" s="39"/>
      <c r="K138" s="50">
        <f>SUM(G136:G138)</f>
        <v>256600</v>
      </c>
      <c r="L138" s="50"/>
    </row>
    <row r="139" spans="1:12">
      <c r="A139" s="30">
        <v>45910</v>
      </c>
      <c r="B139" s="31" t="s">
        <v>41</v>
      </c>
      <c r="C139" s="31" t="s">
        <v>127</v>
      </c>
      <c r="D139" s="30" t="s">
        <v>121</v>
      </c>
      <c r="E139" s="31">
        <v>1</v>
      </c>
      <c r="F139" s="32" t="s">
        <v>128</v>
      </c>
      <c r="G139" s="45">
        <f>12000+10000</f>
        <v>22000</v>
      </c>
      <c r="H139" s="51"/>
      <c r="I139" s="51"/>
      <c r="J139" s="51"/>
      <c r="K139" s="33">
        <f>G139</f>
        <v>22000</v>
      </c>
      <c r="L139" s="33"/>
    </row>
    <row r="140" spans="1:12">
      <c r="A140" s="30">
        <v>45911</v>
      </c>
      <c r="B140" s="30" t="s">
        <v>41</v>
      </c>
      <c r="C140" s="31" t="s">
        <v>46</v>
      </c>
      <c r="D140" s="30" t="s">
        <v>44</v>
      </c>
      <c r="E140" s="31">
        <v>1</v>
      </c>
      <c r="F140" s="32" t="s">
        <v>129</v>
      </c>
      <c r="G140" s="33">
        <v>14384</v>
      </c>
      <c r="H140" s="34"/>
      <c r="I140" s="34"/>
      <c r="J140" s="34"/>
      <c r="K140" s="33"/>
      <c r="L140" s="33">
        <f>G140</f>
        <v>14384</v>
      </c>
    </row>
    <row r="141" spans="1:12">
      <c r="A141" s="30">
        <v>45911</v>
      </c>
      <c r="B141" s="31" t="s">
        <v>41</v>
      </c>
      <c r="C141" s="31" t="s">
        <v>46</v>
      </c>
      <c r="D141" s="31" t="s">
        <v>56</v>
      </c>
      <c r="E141" s="31">
        <v>1</v>
      </c>
      <c r="F141" s="32" t="s">
        <v>130</v>
      </c>
      <c r="G141" s="33">
        <v>11677.6</v>
      </c>
      <c r="H141" s="33"/>
      <c r="I141" s="33"/>
      <c r="J141" s="33"/>
      <c r="K141" s="33"/>
      <c r="L141" s="33">
        <f>G141</f>
        <v>11677.6</v>
      </c>
    </row>
    <row r="142" spans="1:12">
      <c r="A142" s="47">
        <v>45912</v>
      </c>
      <c r="B142" s="48" t="s">
        <v>41</v>
      </c>
      <c r="C142" s="31" t="s">
        <v>32</v>
      </c>
      <c r="D142" s="30" t="s">
        <v>47</v>
      </c>
      <c r="E142" s="31">
        <v>2</v>
      </c>
      <c r="F142" s="32" t="s">
        <v>48</v>
      </c>
      <c r="G142" s="50">
        <v>51000</v>
      </c>
      <c r="H142" s="39"/>
      <c r="I142" s="39"/>
      <c r="J142" s="39"/>
      <c r="K142" s="50">
        <f>SUM(G142)</f>
        <v>51000</v>
      </c>
      <c r="L142" s="50"/>
    </row>
    <row r="143" spans="1:12">
      <c r="A143" s="35">
        <v>45907</v>
      </c>
      <c r="B143" s="37" t="s">
        <v>41</v>
      </c>
      <c r="C143" s="48" t="s">
        <v>30</v>
      </c>
      <c r="D143" s="47" t="s">
        <v>33</v>
      </c>
      <c r="E143" s="48">
        <v>400</v>
      </c>
      <c r="F143" s="49" t="s">
        <v>34</v>
      </c>
      <c r="G143" s="52">
        <v>62400</v>
      </c>
      <c r="H143" s="39"/>
      <c r="I143" s="39"/>
      <c r="J143" s="39"/>
      <c r="K143" s="52"/>
      <c r="L143" s="52"/>
    </row>
    <row r="144" spans="1:12" s="149" customFormat="1">
      <c r="A144" s="145">
        <v>45907</v>
      </c>
      <c r="B144" s="48" t="s">
        <v>41</v>
      </c>
      <c r="C144" s="48" t="s">
        <v>31</v>
      </c>
      <c r="D144" s="145" t="s">
        <v>33</v>
      </c>
      <c r="E144" s="48">
        <v>400</v>
      </c>
      <c r="F144" s="146" t="s">
        <v>115</v>
      </c>
      <c r="G144" s="50">
        <v>143200</v>
      </c>
      <c r="H144" s="148"/>
      <c r="I144" s="148"/>
      <c r="J144" s="148"/>
      <c r="K144" s="147"/>
      <c r="L144" s="50"/>
    </row>
    <row r="145" spans="1:54">
      <c r="A145" s="47">
        <v>45907</v>
      </c>
      <c r="B145" s="42" t="s">
        <v>41</v>
      </c>
      <c r="C145" s="48" t="s">
        <v>31</v>
      </c>
      <c r="D145" s="47" t="s">
        <v>33</v>
      </c>
      <c r="E145" s="48">
        <v>400</v>
      </c>
      <c r="F145" s="49" t="s">
        <v>131</v>
      </c>
      <c r="G145" s="45">
        <v>143200</v>
      </c>
      <c r="H145" s="51"/>
      <c r="I145" s="51"/>
      <c r="J145" s="51"/>
      <c r="K145" s="45">
        <f>G143+G144+G145</f>
        <v>348800</v>
      </c>
      <c r="L145" s="45"/>
    </row>
    <row r="146" spans="1:54">
      <c r="A146" s="30">
        <v>45913</v>
      </c>
      <c r="B146" s="42" t="s">
        <v>41</v>
      </c>
      <c r="C146" s="31" t="s">
        <v>38</v>
      </c>
      <c r="D146" s="30" t="s">
        <v>132</v>
      </c>
      <c r="E146" s="31">
        <v>5</v>
      </c>
      <c r="F146" s="32" t="s">
        <v>133</v>
      </c>
      <c r="G146" s="33">
        <f>10000*5</f>
        <v>50000</v>
      </c>
      <c r="H146" s="34"/>
      <c r="I146" s="34"/>
      <c r="J146" s="34"/>
      <c r="K146" s="33">
        <v>0</v>
      </c>
      <c r="L146" s="33">
        <f>G146</f>
        <v>50000</v>
      </c>
    </row>
    <row r="147" spans="1:54">
      <c r="A147" s="30">
        <v>45915</v>
      </c>
      <c r="B147" s="42" t="s">
        <v>41</v>
      </c>
      <c r="C147" s="31" t="s">
        <v>135</v>
      </c>
      <c r="D147" s="30" t="s">
        <v>134</v>
      </c>
      <c r="E147" s="31">
        <v>1</v>
      </c>
      <c r="F147" s="32" t="s">
        <v>136</v>
      </c>
      <c r="G147" s="33">
        <v>12750</v>
      </c>
      <c r="H147" s="34"/>
      <c r="I147" s="34"/>
      <c r="J147" s="34"/>
      <c r="K147" s="33">
        <v>0</v>
      </c>
      <c r="L147" s="33">
        <f>G147</f>
        <v>12750</v>
      </c>
    </row>
    <row r="148" spans="1:54">
      <c r="A148" s="47">
        <v>45916</v>
      </c>
      <c r="B148" s="48" t="s">
        <v>41</v>
      </c>
      <c r="C148" s="48" t="s">
        <v>32</v>
      </c>
      <c r="D148" s="47" t="s">
        <v>119</v>
      </c>
      <c r="E148" s="48">
        <v>2</v>
      </c>
      <c r="F148" s="49" t="s">
        <v>137</v>
      </c>
      <c r="G148" s="50">
        <v>84523</v>
      </c>
      <c r="H148" s="39"/>
      <c r="I148" s="39"/>
      <c r="J148" s="39"/>
      <c r="K148" s="50">
        <f>G148</f>
        <v>84523</v>
      </c>
      <c r="L148" s="50"/>
    </row>
    <row r="149" spans="1:54">
      <c r="A149" s="47">
        <v>45916</v>
      </c>
      <c r="B149" s="48" t="s">
        <v>41</v>
      </c>
      <c r="C149" s="48" t="s">
        <v>32</v>
      </c>
      <c r="D149" s="47" t="s">
        <v>119</v>
      </c>
      <c r="E149" s="48">
        <v>4</v>
      </c>
      <c r="F149" s="49" t="s">
        <v>145</v>
      </c>
      <c r="G149" s="50">
        <v>169046</v>
      </c>
      <c r="H149" s="39"/>
      <c r="I149" s="39"/>
      <c r="J149" s="39"/>
      <c r="K149" s="50"/>
      <c r="L149" s="50">
        <f>G149</f>
        <v>169046</v>
      </c>
    </row>
    <row r="150" spans="1:54">
      <c r="A150" s="47">
        <v>45916</v>
      </c>
      <c r="B150" s="48" t="s">
        <v>41</v>
      </c>
      <c r="C150" s="31" t="s">
        <v>32</v>
      </c>
      <c r="D150" s="30" t="s">
        <v>47</v>
      </c>
      <c r="E150" s="31">
        <v>6</v>
      </c>
      <c r="F150" s="32" t="s">
        <v>138</v>
      </c>
      <c r="G150" s="50">
        <f>25000*6</f>
        <v>150000</v>
      </c>
      <c r="H150" s="39"/>
      <c r="I150" s="39"/>
      <c r="J150" s="39"/>
      <c r="K150" s="50">
        <f>SUM(G150)</f>
        <v>150000</v>
      </c>
      <c r="L150" s="50"/>
    </row>
    <row r="151" spans="1:54">
      <c r="A151" s="30">
        <v>45916</v>
      </c>
      <c r="B151" s="42" t="s">
        <v>41</v>
      </c>
      <c r="C151" s="31" t="s">
        <v>135</v>
      </c>
      <c r="D151" s="30" t="s">
        <v>139</v>
      </c>
      <c r="E151" s="31">
        <v>1</v>
      </c>
      <c r="F151" s="32" t="s">
        <v>140</v>
      </c>
      <c r="G151" s="33">
        <v>1500</v>
      </c>
      <c r="H151" s="34"/>
      <c r="I151" s="34"/>
      <c r="J151" s="34"/>
      <c r="K151" s="33">
        <f>G151</f>
        <v>1500</v>
      </c>
      <c r="L151" s="33"/>
    </row>
    <row r="152" spans="1:54">
      <c r="A152" s="40">
        <v>45917</v>
      </c>
      <c r="B152" s="31" t="s">
        <v>41</v>
      </c>
      <c r="C152" s="42" t="s">
        <v>65</v>
      </c>
      <c r="D152" s="40" t="s">
        <v>141</v>
      </c>
      <c r="E152" s="42">
        <v>600</v>
      </c>
      <c r="F152" s="43" t="s">
        <v>142</v>
      </c>
      <c r="G152" s="33">
        <v>13800</v>
      </c>
      <c r="H152" s="44"/>
      <c r="I152" s="44"/>
      <c r="J152" s="44"/>
      <c r="K152" s="33"/>
      <c r="L152" s="50">
        <v>13800</v>
      </c>
    </row>
    <row r="153" spans="1:54">
      <c r="A153" s="30">
        <v>45918</v>
      </c>
      <c r="B153" s="30" t="s">
        <v>41</v>
      </c>
      <c r="C153" s="31" t="s">
        <v>26</v>
      </c>
      <c r="D153" s="30" t="s">
        <v>42</v>
      </c>
      <c r="E153" s="31">
        <v>1</v>
      </c>
      <c r="F153" s="32" t="s">
        <v>143</v>
      </c>
      <c r="G153" s="33">
        <v>10000</v>
      </c>
      <c r="H153" s="34"/>
      <c r="I153" s="34"/>
      <c r="J153" s="34"/>
      <c r="K153" s="33"/>
      <c r="L153" s="33">
        <f>G153</f>
        <v>10000</v>
      </c>
    </row>
    <row r="154" spans="1:54">
      <c r="A154" s="30">
        <v>45918</v>
      </c>
      <c r="B154" s="46" t="s">
        <v>41</v>
      </c>
      <c r="C154" s="31" t="s">
        <v>38</v>
      </c>
      <c r="D154" s="30" t="s">
        <v>84</v>
      </c>
      <c r="E154" s="31">
        <v>10</v>
      </c>
      <c r="F154" s="32" t="s">
        <v>144</v>
      </c>
      <c r="G154" s="33">
        <f>8000*10</f>
        <v>80000</v>
      </c>
      <c r="H154" s="34"/>
      <c r="I154" s="34"/>
      <c r="J154" s="34"/>
      <c r="K154" s="33">
        <f>G154</f>
        <v>80000</v>
      </c>
      <c r="L154" s="33"/>
    </row>
    <row r="155" spans="1:54">
      <c r="A155" s="35">
        <v>45919</v>
      </c>
      <c r="B155" s="37" t="s">
        <v>41</v>
      </c>
      <c r="C155" s="48" t="s">
        <v>30</v>
      </c>
      <c r="D155" s="47" t="s">
        <v>33</v>
      </c>
      <c r="E155" s="48">
        <v>600</v>
      </c>
      <c r="F155" s="49" t="s">
        <v>34</v>
      </c>
      <c r="G155" s="52">
        <f>62400+31200</f>
        <v>93600</v>
      </c>
      <c r="H155" s="39"/>
      <c r="I155" s="39"/>
      <c r="J155" s="39"/>
      <c r="K155" s="52"/>
      <c r="L155" s="52"/>
    </row>
    <row r="156" spans="1:54" s="149" customFormat="1">
      <c r="A156" s="145">
        <v>45919</v>
      </c>
      <c r="B156" s="48" t="s">
        <v>41</v>
      </c>
      <c r="C156" s="48" t="s">
        <v>31</v>
      </c>
      <c r="D156" s="145" t="s">
        <v>33</v>
      </c>
      <c r="E156" s="48">
        <v>400</v>
      </c>
      <c r="F156" s="146" t="s">
        <v>115</v>
      </c>
      <c r="G156" s="50">
        <v>143200</v>
      </c>
      <c r="H156" s="148"/>
      <c r="I156" s="148"/>
      <c r="J156" s="148"/>
      <c r="K156" s="147"/>
      <c r="L156" s="50">
        <f>G155+G156</f>
        <v>236800</v>
      </c>
    </row>
    <row r="157" spans="1:54">
      <c r="A157" s="47">
        <v>45918</v>
      </c>
      <c r="B157" s="48" t="s">
        <v>41</v>
      </c>
      <c r="C157" s="48" t="s">
        <v>32</v>
      </c>
      <c r="D157" s="47" t="s">
        <v>119</v>
      </c>
      <c r="E157" s="48">
        <v>3</v>
      </c>
      <c r="F157" s="49" t="s">
        <v>146</v>
      </c>
      <c r="G157" s="50">
        <f>42261.5*3</f>
        <v>126784.5</v>
      </c>
      <c r="H157" s="39"/>
      <c r="I157" s="39"/>
      <c r="J157" s="39"/>
      <c r="K157" s="50">
        <f>G157</f>
        <v>126784.5</v>
      </c>
      <c r="L157" s="50">
        <v>0</v>
      </c>
    </row>
    <row r="158" spans="1:54" s="165" customFormat="1">
      <c r="A158" s="161">
        <v>45919</v>
      </c>
      <c r="B158" s="161" t="s">
        <v>41</v>
      </c>
      <c r="C158" s="162" t="s">
        <v>147</v>
      </c>
      <c r="D158" s="161" t="s">
        <v>147</v>
      </c>
      <c r="E158" s="162">
        <v>1</v>
      </c>
      <c r="F158" s="163" t="s">
        <v>148</v>
      </c>
      <c r="G158" s="164">
        <f>8925.94+415.87+2079.59</f>
        <v>11421.400000000001</v>
      </c>
      <c r="H158" s="164"/>
      <c r="I158" s="164"/>
      <c r="J158" s="164"/>
      <c r="K158" s="164">
        <v>0</v>
      </c>
      <c r="L158" s="164"/>
      <c r="M158" s="166">
        <f>G158</f>
        <v>11421.400000000001</v>
      </c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  <c r="AI158" s="167"/>
      <c r="AJ158" s="167"/>
      <c r="AK158" s="167"/>
      <c r="AL158" s="167"/>
      <c r="AM158" s="167"/>
      <c r="AN158" s="167"/>
      <c r="AO158" s="167"/>
      <c r="AP158" s="167"/>
      <c r="AQ158" s="167"/>
      <c r="AR158" s="167"/>
      <c r="AS158" s="167"/>
      <c r="AT158" s="167"/>
      <c r="AU158" s="167"/>
      <c r="AV158" s="167"/>
      <c r="AW158" s="167"/>
      <c r="AX158" s="167"/>
      <c r="AY158" s="167"/>
      <c r="AZ158" s="167"/>
      <c r="BA158" s="167"/>
      <c r="BB158" s="167"/>
    </row>
    <row r="159" spans="1:54">
      <c r="A159" s="30">
        <v>45922</v>
      </c>
      <c r="B159" s="31" t="s">
        <v>41</v>
      </c>
      <c r="C159" s="31" t="s">
        <v>58</v>
      </c>
      <c r="D159" s="31" t="s">
        <v>59</v>
      </c>
      <c r="E159" s="31"/>
      <c r="F159" s="32" t="s">
        <v>150</v>
      </c>
      <c r="G159" s="33">
        <v>16000</v>
      </c>
      <c r="H159" s="33"/>
      <c r="I159" s="33"/>
      <c r="J159" s="33"/>
      <c r="K159" s="33"/>
      <c r="L159" s="33">
        <f>G159</f>
        <v>16000</v>
      </c>
    </row>
    <row r="160" spans="1:54">
      <c r="A160" s="66">
        <v>45922</v>
      </c>
      <c r="B160" s="66" t="s">
        <v>41</v>
      </c>
      <c r="C160" s="67" t="s">
        <v>62</v>
      </c>
      <c r="D160" s="66" t="s">
        <v>105</v>
      </c>
      <c r="E160" s="67"/>
      <c r="F160" s="68" t="s">
        <v>64</v>
      </c>
      <c r="G160" s="34">
        <v>7000</v>
      </c>
      <c r="H160" s="34"/>
      <c r="I160" s="34"/>
      <c r="J160" s="34"/>
      <c r="K160" s="34">
        <v>7000</v>
      </c>
      <c r="L160" s="34"/>
    </row>
    <row r="161" spans="1:54">
      <c r="A161" s="47">
        <v>45924</v>
      </c>
      <c r="B161" s="48" t="s">
        <v>41</v>
      </c>
      <c r="C161" s="31" t="s">
        <v>32</v>
      </c>
      <c r="D161" s="30" t="s">
        <v>47</v>
      </c>
      <c r="E161" s="31">
        <v>4</v>
      </c>
      <c r="F161" s="32" t="s">
        <v>151</v>
      </c>
      <c r="G161" s="50">
        <f>25000*4</f>
        <v>100000</v>
      </c>
      <c r="H161" s="39"/>
      <c r="I161" s="39"/>
      <c r="J161" s="39"/>
      <c r="K161" s="50">
        <f>SUM(G161)</f>
        <v>100000</v>
      </c>
      <c r="L161" s="50"/>
    </row>
    <row r="162" spans="1:54">
      <c r="A162" s="35">
        <v>45926</v>
      </c>
      <c r="B162" s="37" t="s">
        <v>41</v>
      </c>
      <c r="C162" s="48" t="s">
        <v>30</v>
      </c>
      <c r="D162" s="47" t="s">
        <v>33</v>
      </c>
      <c r="E162" s="48">
        <v>1200</v>
      </c>
      <c r="F162" s="49" t="s">
        <v>152</v>
      </c>
      <c r="G162" s="52">
        <f>62400*3</f>
        <v>187200</v>
      </c>
      <c r="H162" s="39"/>
      <c r="I162" s="39"/>
      <c r="J162" s="39"/>
      <c r="K162" s="52"/>
      <c r="L162" s="52"/>
    </row>
    <row r="163" spans="1:54" s="149" customFormat="1">
      <c r="A163" s="145">
        <v>45926</v>
      </c>
      <c r="B163" s="48" t="s">
        <v>41</v>
      </c>
      <c r="C163" s="48" t="s">
        <v>31</v>
      </c>
      <c r="D163" s="145" t="s">
        <v>33</v>
      </c>
      <c r="E163" s="48">
        <v>2000</v>
      </c>
      <c r="F163" s="146" t="s">
        <v>153</v>
      </c>
      <c r="G163" s="50">
        <f>143200*5</f>
        <v>716000</v>
      </c>
      <c r="H163" s="148"/>
      <c r="I163" s="148"/>
      <c r="J163" s="148"/>
      <c r="K163" s="147">
        <f>G162+G163-25000-62400</f>
        <v>815800</v>
      </c>
      <c r="L163" s="50"/>
    </row>
    <row r="164" spans="1:54">
      <c r="A164" s="40">
        <v>45929</v>
      </c>
      <c r="B164" s="31" t="s">
        <v>41</v>
      </c>
      <c r="C164" s="40" t="s">
        <v>106</v>
      </c>
      <c r="D164" s="40" t="s">
        <v>106</v>
      </c>
      <c r="E164" s="42">
        <v>2</v>
      </c>
      <c r="F164" s="43" t="s">
        <v>154</v>
      </c>
      <c r="G164" s="33">
        <f>30000*2</f>
        <v>60000</v>
      </c>
      <c r="H164" s="44"/>
      <c r="I164" s="44"/>
      <c r="J164" s="44"/>
      <c r="K164" s="33">
        <f>G164</f>
        <v>60000</v>
      </c>
      <c r="L164" s="40"/>
    </row>
    <row r="165" spans="1:54" s="165" customFormat="1" ht="15" thickBot="1">
      <c r="A165" s="161">
        <v>45930</v>
      </c>
      <c r="B165" s="161" t="s">
        <v>41</v>
      </c>
      <c r="C165" s="162" t="s">
        <v>147</v>
      </c>
      <c r="D165" s="161" t="s">
        <v>147</v>
      </c>
      <c r="E165" s="162">
        <v>1</v>
      </c>
      <c r="F165" s="163" t="s">
        <v>155</v>
      </c>
      <c r="G165" s="164">
        <f>20677+4894.54+7415.75+15750</f>
        <v>48737.29</v>
      </c>
      <c r="H165" s="164"/>
      <c r="I165" s="164"/>
      <c r="J165" s="164"/>
      <c r="K165" s="164">
        <v>0</v>
      </c>
      <c r="L165" s="164"/>
      <c r="M165" s="166">
        <f>G165</f>
        <v>48737.29</v>
      </c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  <c r="AC165" s="167"/>
      <c r="AD165" s="167"/>
      <c r="AE165" s="167"/>
      <c r="AF165" s="167"/>
      <c r="AG165" s="167"/>
      <c r="AH165" s="167"/>
      <c r="AI165" s="167"/>
      <c r="AJ165" s="167"/>
      <c r="AK165" s="167"/>
      <c r="AL165" s="167"/>
      <c r="AM165" s="167"/>
      <c r="AN165" s="167"/>
      <c r="AO165" s="167"/>
      <c r="AP165" s="167"/>
      <c r="AQ165" s="167"/>
      <c r="AR165" s="167"/>
      <c r="AS165" s="167"/>
      <c r="AT165" s="167"/>
      <c r="AU165" s="167"/>
      <c r="AV165" s="167"/>
      <c r="AW165" s="167"/>
      <c r="AX165" s="167"/>
      <c r="AY165" s="167"/>
      <c r="AZ165" s="167"/>
      <c r="BA165" s="167"/>
      <c r="BB165" s="167"/>
    </row>
    <row r="166" spans="1:54">
      <c r="A166" s="103">
        <v>45930</v>
      </c>
      <c r="B166" s="104" t="s">
        <v>41</v>
      </c>
      <c r="C166" s="105" t="s">
        <v>88</v>
      </c>
      <c r="D166" s="104" t="s">
        <v>89</v>
      </c>
      <c r="E166" s="105"/>
      <c r="F166" s="106" t="s">
        <v>156</v>
      </c>
      <c r="G166" s="107">
        <v>1300000</v>
      </c>
      <c r="H166" s="107"/>
      <c r="I166" s="107"/>
      <c r="J166" s="107"/>
      <c r="K166" s="107">
        <v>800000</v>
      </c>
      <c r="L166" s="108">
        <v>500000</v>
      </c>
    </row>
    <row r="167" spans="1:54" ht="15" thickBot="1">
      <c r="A167" s="109">
        <v>45930</v>
      </c>
      <c r="B167" s="110" t="s">
        <v>41</v>
      </c>
      <c r="C167" s="111" t="s">
        <v>88</v>
      </c>
      <c r="D167" s="110" t="s">
        <v>91</v>
      </c>
      <c r="E167" s="111"/>
      <c r="F167" s="112" t="s">
        <v>157</v>
      </c>
      <c r="G167" s="113">
        <v>1300000</v>
      </c>
      <c r="H167" s="113"/>
      <c r="I167" s="113"/>
      <c r="J167" s="113"/>
      <c r="K167" s="113">
        <v>400000</v>
      </c>
      <c r="L167" s="114">
        <v>900000</v>
      </c>
    </row>
    <row r="168" spans="1:54">
      <c r="A168" s="47">
        <v>45854</v>
      </c>
      <c r="B168" s="53" t="s">
        <v>29</v>
      </c>
      <c r="C168" s="48" t="s">
        <v>31</v>
      </c>
      <c r="D168" s="47"/>
      <c r="E168" s="48"/>
      <c r="F168" s="49"/>
      <c r="G168" s="33"/>
      <c r="H168" s="51"/>
      <c r="I168" s="51"/>
      <c r="J168" s="51"/>
      <c r="K168" s="33"/>
      <c r="L168" s="33"/>
    </row>
    <row r="169" spans="1:54">
      <c r="A169" s="40">
        <v>45854</v>
      </c>
      <c r="B169" s="41" t="s">
        <v>29</v>
      </c>
      <c r="C169" s="42" t="s">
        <v>32</v>
      </c>
      <c r="D169" s="40"/>
      <c r="E169" s="42"/>
      <c r="F169" s="43"/>
      <c r="G169" s="33"/>
      <c r="H169" s="44"/>
      <c r="I169" s="44"/>
      <c r="J169" s="44"/>
      <c r="K169" s="33"/>
      <c r="L169" s="33"/>
    </row>
    <row r="170" spans="1:54">
      <c r="A170" s="30">
        <v>45853</v>
      </c>
      <c r="B170" s="46" t="s">
        <v>29</v>
      </c>
      <c r="C170" s="31" t="s">
        <v>38</v>
      </c>
      <c r="D170" s="30"/>
      <c r="E170" s="31"/>
      <c r="F170" s="32"/>
      <c r="G170" s="33"/>
      <c r="H170" s="34"/>
      <c r="I170" s="34"/>
      <c r="J170" s="34"/>
      <c r="K170" s="33"/>
      <c r="L170" s="33"/>
    </row>
    <row r="171" spans="1:54">
      <c r="A171" s="30">
        <v>45855</v>
      </c>
      <c r="B171" s="30" t="s">
        <v>41</v>
      </c>
      <c r="C171" s="31" t="s">
        <v>26</v>
      </c>
      <c r="D171" s="30"/>
      <c r="E171" s="31"/>
      <c r="F171" s="32"/>
      <c r="G171" s="33"/>
      <c r="H171" s="34"/>
      <c r="I171" s="34"/>
      <c r="J171" s="34"/>
      <c r="K171" s="33"/>
      <c r="L171" s="33"/>
    </row>
    <row r="172" spans="1:54">
      <c r="A172" s="30">
        <v>45855</v>
      </c>
      <c r="B172" s="30" t="s">
        <v>41</v>
      </c>
      <c r="C172" s="31" t="s">
        <v>46</v>
      </c>
      <c r="D172" s="30"/>
      <c r="E172" s="31"/>
      <c r="F172" s="32"/>
      <c r="G172" s="33"/>
      <c r="H172" s="34"/>
      <c r="I172" s="34"/>
      <c r="J172" s="34"/>
      <c r="K172" s="33"/>
      <c r="L172" s="33"/>
    </row>
    <row r="173" spans="1:54">
      <c r="A173" s="30">
        <v>45856</v>
      </c>
      <c r="B173" s="30" t="s">
        <v>41</v>
      </c>
      <c r="C173" s="31" t="s">
        <v>32</v>
      </c>
      <c r="D173" s="30"/>
      <c r="E173" s="31"/>
      <c r="F173" s="32"/>
      <c r="G173" s="33"/>
      <c r="H173" s="34"/>
      <c r="I173" s="34"/>
      <c r="J173" s="34"/>
      <c r="K173" s="33"/>
      <c r="L173" s="33"/>
    </row>
    <row r="174" spans="1:54">
      <c r="A174" s="30">
        <v>45859</v>
      </c>
      <c r="B174" s="31" t="s">
        <v>41</v>
      </c>
      <c r="C174" s="31" t="s">
        <v>58</v>
      </c>
      <c r="D174" s="31"/>
      <c r="E174" s="31"/>
      <c r="F174" s="32"/>
      <c r="G174" s="33"/>
      <c r="H174" s="33"/>
      <c r="I174" s="33"/>
      <c r="J174" s="33"/>
      <c r="K174" s="33"/>
      <c r="L174" s="33"/>
    </row>
    <row r="175" spans="1:54">
      <c r="A175" s="30">
        <v>45859</v>
      </c>
      <c r="B175" s="31" t="s">
        <v>41</v>
      </c>
      <c r="C175" s="31" t="s">
        <v>46</v>
      </c>
      <c r="D175" s="31"/>
      <c r="E175" s="31"/>
      <c r="F175" s="32"/>
      <c r="G175" s="33"/>
      <c r="H175" s="33"/>
      <c r="I175" s="33"/>
      <c r="J175" s="33"/>
      <c r="K175" s="33"/>
      <c r="L175" s="33"/>
    </row>
    <row r="176" spans="1:54">
      <c r="A176" s="35">
        <v>45863</v>
      </c>
      <c r="B176" s="37" t="s">
        <v>41</v>
      </c>
      <c r="C176" s="37" t="s">
        <v>30</v>
      </c>
      <c r="D176" s="35"/>
      <c r="E176" s="37"/>
      <c r="F176" s="38"/>
      <c r="G176" s="52"/>
      <c r="H176" s="34"/>
      <c r="I176" s="34"/>
      <c r="J176" s="34"/>
      <c r="K176" s="52"/>
      <c r="L176" s="52"/>
    </row>
    <row r="177" spans="1:12">
      <c r="A177" s="47">
        <v>45863</v>
      </c>
      <c r="B177" s="48" t="s">
        <v>41</v>
      </c>
      <c r="C177" s="48" t="s">
        <v>31</v>
      </c>
      <c r="D177" s="47"/>
      <c r="E177" s="48"/>
      <c r="F177" s="49"/>
      <c r="G177" s="50"/>
      <c r="H177" s="34"/>
      <c r="I177" s="34"/>
      <c r="J177" s="34"/>
      <c r="K177" s="50"/>
      <c r="L177" s="50"/>
    </row>
    <row r="178" spans="1:12">
      <c r="A178" s="40">
        <v>45863</v>
      </c>
      <c r="B178" s="42" t="s">
        <v>41</v>
      </c>
      <c r="C178" s="42" t="s">
        <v>32</v>
      </c>
      <c r="D178" s="40"/>
      <c r="E178" s="42"/>
      <c r="F178" s="43"/>
      <c r="G178" s="45"/>
      <c r="H178" s="34"/>
      <c r="I178" s="34"/>
      <c r="J178" s="34"/>
      <c r="K178" s="45"/>
      <c r="L178" s="45"/>
    </row>
    <row r="179" spans="1:12">
      <c r="A179" s="30">
        <v>45860</v>
      </c>
      <c r="B179" s="30" t="s">
        <v>41</v>
      </c>
      <c r="C179" s="31" t="s">
        <v>32</v>
      </c>
      <c r="D179" s="30"/>
      <c r="E179" s="31"/>
      <c r="F179" s="32"/>
      <c r="G179" s="33"/>
      <c r="H179" s="34"/>
      <c r="I179" s="34"/>
      <c r="J179" s="34"/>
      <c r="K179" s="33"/>
      <c r="L179" s="33"/>
    </row>
    <row r="180" spans="1:12">
      <c r="A180" s="93">
        <v>45862</v>
      </c>
      <c r="B180" s="93" t="s">
        <v>41</v>
      </c>
      <c r="C180" s="94" t="s">
        <v>82</v>
      </c>
      <c r="D180" s="93"/>
      <c r="E180" s="94"/>
      <c r="F180" s="95"/>
      <c r="G180" s="96"/>
      <c r="H180" s="96"/>
      <c r="I180" s="96"/>
      <c r="J180" s="96"/>
      <c r="K180" s="96"/>
      <c r="L180" s="96"/>
    </row>
    <row r="181" spans="1:12">
      <c r="A181" s="30">
        <v>45863</v>
      </c>
      <c r="B181" s="46" t="s">
        <v>41</v>
      </c>
      <c r="C181" s="31" t="s">
        <v>38</v>
      </c>
      <c r="D181" s="30"/>
      <c r="E181" s="31"/>
      <c r="F181" s="32"/>
      <c r="G181" s="33"/>
      <c r="H181" s="34"/>
      <c r="I181" s="34"/>
      <c r="J181" s="34"/>
      <c r="K181" s="33"/>
      <c r="L181" s="33"/>
    </row>
    <row r="182" spans="1:12">
      <c r="A182" s="35">
        <v>45863</v>
      </c>
      <c r="B182" s="37" t="s">
        <v>41</v>
      </c>
      <c r="C182" s="37" t="s">
        <v>30</v>
      </c>
      <c r="D182" s="35"/>
      <c r="E182" s="37"/>
      <c r="F182" s="38"/>
      <c r="G182" s="52"/>
      <c r="H182" s="34"/>
      <c r="I182" s="34"/>
      <c r="J182" s="34"/>
      <c r="K182" s="52"/>
      <c r="L182" s="52"/>
    </row>
    <row r="183" spans="1:12">
      <c r="A183" s="47">
        <v>45863</v>
      </c>
      <c r="B183" s="48" t="s">
        <v>41</v>
      </c>
      <c r="C183" s="48" t="s">
        <v>31</v>
      </c>
      <c r="D183" s="47"/>
      <c r="E183" s="48"/>
      <c r="F183" s="49"/>
      <c r="G183" s="50"/>
      <c r="H183" s="34"/>
      <c r="I183" s="34"/>
      <c r="J183" s="34"/>
      <c r="K183" s="45"/>
      <c r="L183" s="45"/>
    </row>
    <row r="184" spans="1:12">
      <c r="A184" s="35">
        <v>45866</v>
      </c>
      <c r="B184" s="37" t="s">
        <v>41</v>
      </c>
      <c r="C184" s="37" t="s">
        <v>30</v>
      </c>
      <c r="D184" s="35"/>
      <c r="E184" s="37"/>
      <c r="F184" s="38"/>
      <c r="G184" s="52"/>
      <c r="H184" s="34"/>
      <c r="I184" s="34"/>
      <c r="J184" s="34"/>
      <c r="K184" s="52"/>
      <c r="L184" s="52"/>
    </row>
    <row r="185" spans="1:12" ht="15" thickBot="1">
      <c r="A185" s="47">
        <v>45866</v>
      </c>
      <c r="B185" s="48" t="s">
        <v>41</v>
      </c>
      <c r="C185" s="48" t="s">
        <v>32</v>
      </c>
      <c r="D185" s="47"/>
      <c r="E185" s="48"/>
      <c r="F185" s="49"/>
      <c r="G185" s="50"/>
      <c r="H185" s="39"/>
      <c r="I185" s="39"/>
      <c r="J185" s="39"/>
      <c r="K185" s="50"/>
      <c r="L185" s="50"/>
    </row>
    <row r="186" spans="1:12">
      <c r="A186" s="103">
        <v>45869</v>
      </c>
      <c r="B186" s="104" t="s">
        <v>41</v>
      </c>
      <c r="C186" s="105" t="s">
        <v>88</v>
      </c>
      <c r="D186" s="104"/>
      <c r="E186" s="105"/>
      <c r="F186" s="106"/>
      <c r="G186" s="107"/>
      <c r="H186" s="107"/>
      <c r="I186" s="107"/>
      <c r="J186" s="107"/>
      <c r="K186" s="107"/>
      <c r="L186" s="108"/>
    </row>
    <row r="187" spans="1:12" ht="15" thickBot="1">
      <c r="A187" s="109">
        <v>45869</v>
      </c>
      <c r="B187" s="110" t="s">
        <v>41</v>
      </c>
      <c r="C187" s="111" t="s">
        <v>88</v>
      </c>
      <c r="D187" s="110"/>
      <c r="E187" s="111"/>
      <c r="F187" s="112"/>
      <c r="G187" s="113"/>
      <c r="H187" s="113"/>
      <c r="I187" s="113"/>
      <c r="J187" s="113"/>
      <c r="K187" s="113"/>
      <c r="L187" s="114"/>
    </row>
    <row r="188" spans="1:12">
      <c r="A188" s="40"/>
      <c r="B188" s="40"/>
      <c r="C188" s="42"/>
      <c r="D188" s="40"/>
      <c r="E188" s="42"/>
      <c r="F188" s="43"/>
      <c r="G188" s="45"/>
      <c r="H188" s="44"/>
      <c r="I188" s="44"/>
      <c r="J188" s="44"/>
      <c r="K188" s="45"/>
      <c r="L188" s="102"/>
    </row>
    <row r="189" spans="1:12">
      <c r="A189" s="30"/>
      <c r="B189" s="30"/>
      <c r="C189" s="31"/>
      <c r="D189" s="30"/>
      <c r="E189" s="31"/>
      <c r="F189" s="32"/>
      <c r="G189" s="56"/>
      <c r="H189" s="34"/>
      <c r="I189" s="34"/>
      <c r="J189" s="34"/>
      <c r="K189" s="31"/>
      <c r="L189" s="26"/>
    </row>
    <row r="190" spans="1:12" ht="15" thickBot="1">
      <c r="A190" s="79" t="s">
        <v>27</v>
      </c>
      <c r="B190" s="79"/>
      <c r="C190" s="79"/>
      <c r="D190" s="79"/>
      <c r="E190" s="79"/>
      <c r="F190" s="79"/>
      <c r="G190" s="54"/>
      <c r="H190" s="55"/>
      <c r="I190" s="55"/>
      <c r="J190" s="55"/>
      <c r="K190" s="54"/>
    </row>
    <row r="191" spans="1:12">
      <c r="A191" s="30"/>
      <c r="B191" s="30"/>
      <c r="C191" s="31"/>
      <c r="D191" s="30"/>
      <c r="E191" s="31"/>
      <c r="F191" s="32"/>
      <c r="G191" s="33"/>
      <c r="H191" s="34"/>
      <c r="I191" s="34"/>
      <c r="J191" s="34"/>
      <c r="K191" s="56"/>
    </row>
    <row r="192" spans="1:12" ht="15" thickBot="1"/>
    <row r="193" spans="2:12" ht="15" thickBot="1">
      <c r="F193" s="58"/>
      <c r="G193" s="59"/>
      <c r="H193" s="60"/>
      <c r="I193" s="60"/>
      <c r="J193" s="60"/>
      <c r="K193" s="61"/>
      <c r="L193" s="61"/>
    </row>
    <row r="194" spans="2:12" ht="15" thickBot="1">
      <c r="B194" s="62"/>
      <c r="F194" s="63"/>
      <c r="G194" s="64"/>
      <c r="H194" s="65"/>
      <c r="I194" s="65"/>
      <c r="J194" s="65"/>
      <c r="K194" s="64"/>
      <c r="L194" s="64"/>
    </row>
    <row r="197" spans="2:12">
      <c r="H197" s="57">
        <f>+H194/0.105</f>
        <v>0</v>
      </c>
      <c r="I197" s="57">
        <f>+I194/0.105</f>
        <v>0</v>
      </c>
    </row>
  </sheetData>
  <mergeCells count="1">
    <mergeCell ref="K2:M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73AC-D7AD-43F1-8EBA-19648C7DF0D8}">
  <dimension ref="A1:L44"/>
  <sheetViews>
    <sheetView workbookViewId="0">
      <selection activeCell="J11" sqref="J11:K11"/>
    </sheetView>
  </sheetViews>
  <sheetFormatPr baseColWidth="10" defaultRowHeight="14.25"/>
  <cols>
    <col min="1" max="1" width="13.5" customWidth="1"/>
    <col min="2" max="2" width="13.75" customWidth="1"/>
    <col min="3" max="3" width="12.375" customWidth="1"/>
    <col min="4" max="4" width="8.375" customWidth="1"/>
    <col min="5" max="5" width="18.125" customWidth="1"/>
    <col min="6" max="6" width="17.375" customWidth="1"/>
    <col min="7" max="7" width="15.625" customWidth="1"/>
    <col min="8" max="8" width="16.75" customWidth="1"/>
    <col min="9" max="9" width="6" customWidth="1"/>
    <col min="10" max="10" width="16.75" customWidth="1"/>
    <col min="11" max="11" width="17.875" customWidth="1"/>
    <col min="12" max="12" width="24.125" customWidth="1"/>
  </cols>
  <sheetData>
    <row r="1" spans="1:11" ht="20.25">
      <c r="A1" s="233" t="s">
        <v>9</v>
      </c>
      <c r="B1" s="233"/>
      <c r="C1" s="233"/>
      <c r="D1" s="233"/>
      <c r="E1" s="233"/>
      <c r="F1" s="233"/>
      <c r="G1" s="134"/>
    </row>
    <row r="2" spans="1:11" ht="21" thickBot="1">
      <c r="A2" s="185"/>
      <c r="B2" s="232" t="s">
        <v>0</v>
      </c>
      <c r="C2" s="232"/>
      <c r="D2" s="185"/>
      <c r="E2" s="236" t="s">
        <v>7</v>
      </c>
      <c r="F2" s="237"/>
      <c r="G2" s="238"/>
      <c r="H2" s="185" t="s">
        <v>3</v>
      </c>
      <c r="I2" s="15"/>
      <c r="J2" s="234" t="s">
        <v>195</v>
      </c>
      <c r="K2" s="234"/>
    </row>
    <row r="3" spans="1:11" ht="16.5" thickBot="1">
      <c r="A3" s="16" t="s">
        <v>8</v>
      </c>
      <c r="B3" s="16" t="s">
        <v>1</v>
      </c>
      <c r="C3" s="16" t="s">
        <v>2</v>
      </c>
      <c r="D3" s="16" t="s">
        <v>5</v>
      </c>
      <c r="E3" s="16" t="s">
        <v>4</v>
      </c>
      <c r="F3" s="137" t="s">
        <v>6</v>
      </c>
      <c r="G3" s="139" t="s">
        <v>123</v>
      </c>
      <c r="H3" s="138" t="s">
        <v>13</v>
      </c>
      <c r="I3" s="24"/>
    </row>
    <row r="4" spans="1:11" ht="21" customHeight="1" thickBot="1">
      <c r="A4" s="14">
        <v>45962</v>
      </c>
      <c r="B4" s="8">
        <f>2+15+6+2+6+12+6+12+4+6</f>
        <v>71</v>
      </c>
      <c r="C4" s="8">
        <f>4+6+2+6+6+6+2+1+1+4</f>
        <v>38</v>
      </c>
      <c r="D4" s="8">
        <v>3</v>
      </c>
      <c r="E4" s="69">
        <f>6600+3600+7200+1000+3000+1000+4800</f>
        <v>27200</v>
      </c>
      <c r="F4" s="17">
        <f>13500+4200+12600+5400+18000+5400+2400</f>
        <v>61500</v>
      </c>
      <c r="G4" s="135">
        <f>19200+15600</f>
        <v>34800</v>
      </c>
      <c r="H4" s="20">
        <f>E4+F4</f>
        <v>88700</v>
      </c>
      <c r="I4" s="28"/>
      <c r="J4" s="11" t="s">
        <v>10</v>
      </c>
      <c r="K4" s="12">
        <f>SUMIF(F4:F31,"&gt;0")</f>
        <v>768420</v>
      </c>
    </row>
    <row r="5" spans="1:11" ht="21" customHeight="1" thickBot="1">
      <c r="A5" s="14">
        <v>45963</v>
      </c>
      <c r="B5" s="8">
        <f>12+4+2+4+3+18+4+4+2+6+6+6+4+1+3+12</f>
        <v>91</v>
      </c>
      <c r="C5" s="8">
        <f>6+4+6+8+1+6+8+12+4+6+12+4+6+2+4+2+2+6+6</f>
        <v>105</v>
      </c>
      <c r="D5" s="8">
        <v>3</v>
      </c>
      <c r="E5" s="69">
        <f>9000+3900+16200+13200+11600+2400+11400+10800</f>
        <v>78500</v>
      </c>
      <c r="F5" s="18">
        <f>18000+8400+3000+13200+7200+14400+8400+7200+4800+12600+8400+3300+9900</f>
        <v>118800</v>
      </c>
      <c r="G5" s="135">
        <f>25400+7800</f>
        <v>33200</v>
      </c>
      <c r="H5" s="20">
        <f t="shared" ref="H5:H18" si="0">E5+F5</f>
        <v>197300</v>
      </c>
      <c r="I5" s="28"/>
      <c r="J5" s="11" t="s">
        <v>11</v>
      </c>
      <c r="K5" s="13">
        <f>SUMIF(E4:E31,"&gt;0")</f>
        <v>927900</v>
      </c>
    </row>
    <row r="6" spans="1:11" ht="21" customHeight="1" thickBot="1">
      <c r="A6" s="14">
        <v>45964</v>
      </c>
      <c r="B6" s="8">
        <f>3+4+6+4+1+6+6+1</f>
        <v>31</v>
      </c>
      <c r="C6" s="8">
        <f>2+2+6+1</f>
        <v>11</v>
      </c>
      <c r="D6" s="8">
        <v>3</v>
      </c>
      <c r="E6" s="69">
        <f>3000+600+6000+3300+5400+12600</f>
        <v>30900</v>
      </c>
      <c r="F6" s="18">
        <f>6000+5400+2100</f>
        <v>13500</v>
      </c>
      <c r="G6" s="135"/>
      <c r="H6" s="20">
        <f t="shared" si="0"/>
        <v>44400</v>
      </c>
      <c r="I6" s="28"/>
      <c r="J6" s="11" t="s">
        <v>124</v>
      </c>
      <c r="K6" s="136">
        <f>SUMIF(G4:G34,"&gt;0")</f>
        <v>518820</v>
      </c>
    </row>
    <row r="7" spans="1:11" ht="21" customHeight="1" thickBot="1">
      <c r="A7" s="14">
        <v>45965</v>
      </c>
      <c r="B7" s="8">
        <f>1+12</f>
        <v>13</v>
      </c>
      <c r="C7" s="8">
        <f>6+3</f>
        <v>9</v>
      </c>
      <c r="D7" s="8"/>
      <c r="E7" s="69">
        <f>3600+900+10800</f>
        <v>15300</v>
      </c>
      <c r="F7" s="19">
        <v>7200</v>
      </c>
      <c r="G7" s="135"/>
      <c r="H7" s="20">
        <f t="shared" si="0"/>
        <v>22500</v>
      </c>
      <c r="I7" s="28"/>
      <c r="J7" s="179" t="s">
        <v>3</v>
      </c>
      <c r="K7" s="131">
        <f>K4+K5+K6</f>
        <v>2215140</v>
      </c>
    </row>
    <row r="8" spans="1:11" ht="21" customHeight="1" thickBot="1">
      <c r="A8" s="14">
        <v>45966</v>
      </c>
      <c r="B8" s="8">
        <f>8+8+1+8</f>
        <v>25</v>
      </c>
      <c r="C8" s="8">
        <f>4+2+2+4</f>
        <v>12</v>
      </c>
      <c r="D8" s="8"/>
      <c r="E8" s="69">
        <v>0</v>
      </c>
      <c r="F8" s="19">
        <f>4800+7200+2400+7200+3300</f>
        <v>24900</v>
      </c>
      <c r="G8" s="136">
        <f>16200</f>
        <v>16200</v>
      </c>
      <c r="H8" s="20">
        <f t="shared" si="0"/>
        <v>24900</v>
      </c>
    </row>
    <row r="9" spans="1:11" ht="21" customHeight="1" thickBot="1">
      <c r="A9" s="14">
        <v>45967</v>
      </c>
      <c r="B9" s="8">
        <f>6+4+3+8+1+3</f>
        <v>25</v>
      </c>
      <c r="C9" s="8">
        <f>12+7+5+3+3+4+4+3+3</f>
        <v>44</v>
      </c>
      <c r="D9" s="8">
        <f>1+1</f>
        <v>2</v>
      </c>
      <c r="E9" s="69">
        <f>3600+3600+13200+7500</f>
        <v>27900</v>
      </c>
      <c r="F9" s="100">
        <f>14400+6000+7500+4800+4500</f>
        <v>37200</v>
      </c>
      <c r="G9" s="136">
        <v>20700</v>
      </c>
      <c r="H9" s="20">
        <f t="shared" si="0"/>
        <v>65100</v>
      </c>
      <c r="J9" s="234" t="s">
        <v>14</v>
      </c>
      <c r="K9" s="234"/>
    </row>
    <row r="10" spans="1:11" ht="21" customHeight="1" thickBot="1">
      <c r="A10" s="14">
        <v>45968</v>
      </c>
      <c r="B10" s="8">
        <f>4+2+6+3+12+6</f>
        <v>33</v>
      </c>
      <c r="C10" s="8">
        <f>5+2+4+4+3+12+24</f>
        <v>54</v>
      </c>
      <c r="D10" s="8">
        <f>3+3+3+3</f>
        <v>12</v>
      </c>
      <c r="E10" s="69">
        <f>2400+6600+4800+9600+9300+5400+3000+28800</f>
        <v>69900</v>
      </c>
      <c r="F10" s="100">
        <f>6000+10800</f>
        <v>16800</v>
      </c>
      <c r="G10" s="136">
        <f>7020+20520</f>
        <v>27540</v>
      </c>
      <c r="H10" s="20">
        <f>E10+F10</f>
        <v>86700</v>
      </c>
      <c r="J10" s="27" t="s">
        <v>1</v>
      </c>
      <c r="K10" s="27" t="s">
        <v>2</v>
      </c>
    </row>
    <row r="11" spans="1:11" ht="21" customHeight="1" thickBot="1">
      <c r="A11" s="14">
        <v>45969</v>
      </c>
      <c r="B11" s="8">
        <f>5+6+3+1+6+1+9+4+3+4+8+6</f>
        <v>56</v>
      </c>
      <c r="C11" s="8">
        <f>3+8+3+6+6+6+13+3+2+9+4+4</f>
        <v>67</v>
      </c>
      <c r="D11" s="8">
        <f>1+3</f>
        <v>4</v>
      </c>
      <c r="E11" s="69">
        <f>12600+900+21000+1200+3300+3600+5700+8400+5400</f>
        <v>62100</v>
      </c>
      <c r="F11" s="100">
        <f>3600+9600+8100+2700+7200+7200+18900+12000</f>
        <v>69300</v>
      </c>
      <c r="G11" s="136">
        <v>5700</v>
      </c>
      <c r="H11" s="20">
        <f t="shared" si="0"/>
        <v>131400</v>
      </c>
      <c r="J11" s="29">
        <f>SUM(B4:B33)</f>
        <v>1163</v>
      </c>
      <c r="K11" s="29">
        <f>SUM(C4:C33)</f>
        <v>961</v>
      </c>
    </row>
    <row r="12" spans="1:11" ht="21" customHeight="1" thickBot="1">
      <c r="A12" s="14">
        <v>45970</v>
      </c>
      <c r="B12" s="8">
        <f>8+6+18+12+6+12+12+6+6+4+12+6+1+6+2+6</f>
        <v>123</v>
      </c>
      <c r="C12" s="8">
        <f>5+6+6+6+4+12+2+6+4+2</f>
        <v>53</v>
      </c>
      <c r="D12" s="8">
        <v>1</v>
      </c>
      <c r="E12" s="69">
        <f>6000+5400+16200+7200+12000+10800+5700+7200+10800+6600+7800</f>
        <v>95700</v>
      </c>
      <c r="F12" s="100">
        <f>7200+10800+5400+4800+14400+3300+5400</f>
        <v>51300</v>
      </c>
      <c r="G12" s="136">
        <f>15600+7800+7800+11400</f>
        <v>42600</v>
      </c>
      <c r="H12" s="20">
        <f t="shared" si="0"/>
        <v>147000</v>
      </c>
    </row>
    <row r="13" spans="1:11" ht="21" customHeight="1" thickBot="1">
      <c r="A13" s="14">
        <v>45971</v>
      </c>
      <c r="B13" s="8">
        <f>2+10+16+12+1</f>
        <v>41</v>
      </c>
      <c r="C13" s="8">
        <f>1+2+2+2</f>
        <v>7</v>
      </c>
      <c r="D13" s="8"/>
      <c r="E13" s="69">
        <f>3000+9000+2400+10800</f>
        <v>25200</v>
      </c>
      <c r="F13" s="100">
        <f>11400+3300</f>
        <v>14700</v>
      </c>
      <c r="G13" s="136"/>
      <c r="H13" s="20">
        <f t="shared" si="0"/>
        <v>39900</v>
      </c>
    </row>
    <row r="14" spans="1:11" ht="21" customHeight="1" thickBot="1">
      <c r="A14" s="14">
        <v>45972</v>
      </c>
      <c r="B14" s="8">
        <f>8+6+2+2+6+5+3</f>
        <v>32</v>
      </c>
      <c r="C14" s="8">
        <f>6+4+4+1+5+3</f>
        <v>23</v>
      </c>
      <c r="D14" s="8"/>
      <c r="E14" s="69">
        <f>7200+12000+5400+4800+1800+3000+10500</f>
        <v>44700</v>
      </c>
      <c r="F14" s="100">
        <f>5400+6300</f>
        <v>11700</v>
      </c>
      <c r="G14" s="136"/>
      <c r="H14" s="20">
        <f t="shared" si="0"/>
        <v>56400</v>
      </c>
      <c r="J14" s="97"/>
    </row>
    <row r="15" spans="1:11" ht="21" customHeight="1" thickBot="1">
      <c r="A15" s="14">
        <v>45973</v>
      </c>
      <c r="B15" s="8">
        <f>3+4+3+2</f>
        <v>12</v>
      </c>
      <c r="C15" s="8">
        <f>5+8+6+3+2</f>
        <v>24</v>
      </c>
      <c r="D15" s="8"/>
      <c r="E15" s="69">
        <f>2700+13200+6300+4200</f>
        <v>26400</v>
      </c>
      <c r="F15" s="19">
        <f>6000+7200</f>
        <v>13200</v>
      </c>
      <c r="G15" s="136"/>
      <c r="H15" s="20">
        <f t="shared" si="0"/>
        <v>39600</v>
      </c>
    </row>
    <row r="16" spans="1:11" ht="21" customHeight="1" thickBot="1">
      <c r="A16" s="14">
        <v>45974</v>
      </c>
      <c r="B16" s="8">
        <f>6+2+1+6+6+6+2</f>
        <v>29</v>
      </c>
      <c r="C16" s="8">
        <f>2+1+4+6</f>
        <v>13</v>
      </c>
      <c r="D16" s="8"/>
      <c r="E16" s="69">
        <f>5400+4200+2100+6600</f>
        <v>18300</v>
      </c>
      <c r="F16" s="19">
        <v>7020</v>
      </c>
      <c r="G16" s="136">
        <f>7020+10260</f>
        <v>17280</v>
      </c>
      <c r="H16" s="20">
        <f t="shared" si="0"/>
        <v>25320</v>
      </c>
    </row>
    <row r="17" spans="1:12" ht="21" customHeight="1" thickBot="1">
      <c r="A17" s="14">
        <v>45975</v>
      </c>
      <c r="B17" s="8">
        <f>5+2+4</f>
        <v>11</v>
      </c>
      <c r="C17" s="8">
        <f>3+12+4</f>
        <v>19</v>
      </c>
      <c r="D17" s="8"/>
      <c r="E17" s="69">
        <f>8100+1800+12800</f>
        <v>22700</v>
      </c>
      <c r="F17" s="19">
        <v>14400</v>
      </c>
      <c r="G17" s="136"/>
      <c r="H17" s="20">
        <f t="shared" si="0"/>
        <v>37100</v>
      </c>
      <c r="L17" s="131"/>
    </row>
    <row r="18" spans="1:12" ht="21" customHeight="1" thickBot="1">
      <c r="A18" s="14">
        <v>45976</v>
      </c>
      <c r="B18" s="8">
        <f>6+6+15+6+4+8+6+8+2+6+12</f>
        <v>79</v>
      </c>
      <c r="C18" s="8">
        <f>6+6+4+6+10+6+6</f>
        <v>44</v>
      </c>
      <c r="D18" s="8">
        <f>3+1+3</f>
        <v>7</v>
      </c>
      <c r="E18" s="69">
        <f>8400+13500+8400+8400+10200+12600</f>
        <v>61500</v>
      </c>
      <c r="F18" s="19">
        <f>12600+7200+10800</f>
        <v>30600</v>
      </c>
      <c r="G18" s="136">
        <f>19200+19200+21600</f>
        <v>60000</v>
      </c>
      <c r="H18" s="20">
        <f t="shared" si="0"/>
        <v>92100</v>
      </c>
    </row>
    <row r="19" spans="1:12" ht="21" customHeight="1" thickBot="1">
      <c r="A19" s="14">
        <v>45977</v>
      </c>
      <c r="B19" s="8">
        <f>2+3+3+4+4+6+2+4+6+1+6+3+6+4+4+4+2</f>
        <v>64</v>
      </c>
      <c r="C19" s="8">
        <f>2+3+3+4+12+4+6+4+2+6+6+4+6+4+4+6+4</f>
        <v>80</v>
      </c>
      <c r="D19" s="8">
        <f>1+3+1+3+3+3</f>
        <v>14</v>
      </c>
      <c r="E19" s="69">
        <f>3000+4200+8400+14400+8400+6600+7800+8400+15600+3000+3600+3600+10200+6600</f>
        <v>103800</v>
      </c>
      <c r="F19" s="19">
        <f>6300+6000+3900+7500+8400</f>
        <v>32100</v>
      </c>
      <c r="G19" s="136">
        <f>9600+19200+20800+7600</f>
        <v>57200</v>
      </c>
      <c r="H19" s="20">
        <f>E19+F19</f>
        <v>135900</v>
      </c>
    </row>
    <row r="20" spans="1:12" ht="21" customHeight="1" thickBot="1">
      <c r="A20" s="14">
        <v>45978</v>
      </c>
      <c r="B20" s="8">
        <f>3+3+12</f>
        <v>18</v>
      </c>
      <c r="C20" s="8">
        <v>3</v>
      </c>
      <c r="D20" s="8">
        <v>1</v>
      </c>
      <c r="E20" s="69">
        <v>3900</v>
      </c>
      <c r="F20" s="19">
        <f>6300+10800</f>
        <v>17100</v>
      </c>
      <c r="G20" s="136"/>
      <c r="H20" s="20">
        <f>E20+F20</f>
        <v>21000</v>
      </c>
    </row>
    <row r="21" spans="1:12" ht="21" customHeight="1" thickBot="1">
      <c r="A21" s="14">
        <v>45979</v>
      </c>
      <c r="B21" s="8">
        <f>12+3+3+1+24+3+6+3</f>
        <v>55</v>
      </c>
      <c r="C21" s="8">
        <f>5+3+3+2+3+3+12+8+8</f>
        <v>47</v>
      </c>
      <c r="D21" s="8">
        <v>1</v>
      </c>
      <c r="E21" s="69">
        <f>10800+3300+6300+5400+6300+14400</f>
        <v>46500</v>
      </c>
      <c r="F21" s="19">
        <f>6000+7500+2700+3600+9600+9600</f>
        <v>39000</v>
      </c>
      <c r="G21" s="136">
        <f>31200</f>
        <v>31200</v>
      </c>
      <c r="H21" s="20">
        <f t="shared" ref="H21:H29" si="1">E21+F21</f>
        <v>85500</v>
      </c>
    </row>
    <row r="22" spans="1:12" ht="21" customHeight="1" thickBot="1">
      <c r="A22" s="14">
        <v>45980</v>
      </c>
      <c r="B22" s="8">
        <f>5+6+2+4+6+2</f>
        <v>25</v>
      </c>
      <c r="C22" s="8">
        <f>4+5+2+2+12</f>
        <v>25</v>
      </c>
      <c r="D22" s="8"/>
      <c r="E22" s="69">
        <f>4800+1800+3600</f>
        <v>10200</v>
      </c>
      <c r="F22" s="19">
        <f>10500+7800+5400+4200+14400</f>
        <v>42300</v>
      </c>
      <c r="G22" s="136"/>
      <c r="H22" s="20">
        <f t="shared" si="1"/>
        <v>52500</v>
      </c>
    </row>
    <row r="23" spans="1:12" ht="21" customHeight="1" thickBot="1">
      <c r="A23" s="14">
        <v>45981</v>
      </c>
      <c r="B23" s="8">
        <f>3+3</f>
        <v>6</v>
      </c>
      <c r="C23" s="8">
        <v>3</v>
      </c>
      <c r="D23" s="8">
        <v>1</v>
      </c>
      <c r="E23" s="69">
        <f>1200+2700</f>
        <v>3900</v>
      </c>
      <c r="F23" s="19">
        <f>6300</f>
        <v>6300</v>
      </c>
      <c r="G23" s="136"/>
      <c r="H23" s="20">
        <f t="shared" si="1"/>
        <v>10200</v>
      </c>
    </row>
    <row r="24" spans="1:12" ht="21" customHeight="1" thickBot="1">
      <c r="A24" s="14">
        <v>45982</v>
      </c>
      <c r="B24" s="8">
        <f>12+3+2+6+4+3+6</f>
        <v>36</v>
      </c>
      <c r="C24" s="8">
        <f>4+6+8+2</f>
        <v>20</v>
      </c>
      <c r="D24" s="8"/>
      <c r="E24" s="69">
        <f>6000+13200</f>
        <v>19200</v>
      </c>
      <c r="F24" s="19">
        <f>10800+2700+600+12600+2700+7800</f>
        <v>37200</v>
      </c>
      <c r="G24" s="136"/>
      <c r="H24" s="20">
        <f t="shared" si="1"/>
        <v>56400</v>
      </c>
    </row>
    <row r="25" spans="1:12" ht="21" customHeight="1" thickBot="1">
      <c r="A25" s="14">
        <v>45983</v>
      </c>
      <c r="B25" s="8">
        <f>1+4+6</f>
        <v>11</v>
      </c>
      <c r="C25" s="8">
        <f>1+6+9+8+6+6</f>
        <v>36</v>
      </c>
      <c r="D25" s="8"/>
      <c r="E25" s="69">
        <v>18900</v>
      </c>
      <c r="F25" s="19">
        <f>2100+7200+7200+12600</f>
        <v>29100</v>
      </c>
      <c r="G25" s="136">
        <v>15200</v>
      </c>
      <c r="H25" s="20">
        <f t="shared" si="1"/>
        <v>48000</v>
      </c>
    </row>
    <row r="26" spans="1:12" ht="21" customHeight="1" thickBot="1">
      <c r="A26" s="14">
        <v>45984</v>
      </c>
      <c r="B26" s="8">
        <f>18+6+1+4+6+3</f>
        <v>38</v>
      </c>
      <c r="C26" s="8">
        <f>6+6+12+4+6+2+3</f>
        <v>39</v>
      </c>
      <c r="D26" s="8"/>
      <c r="E26" s="69">
        <v>6300</v>
      </c>
      <c r="F26" s="19">
        <f>23400+12600+7200</f>
        <v>43200</v>
      </c>
      <c r="G26" s="136">
        <f>22800+8900+9000+7800</f>
        <v>48500</v>
      </c>
      <c r="H26" s="20">
        <f t="shared" si="1"/>
        <v>49500</v>
      </c>
    </row>
    <row r="27" spans="1:12" ht="21" customHeight="1" thickBot="1">
      <c r="A27" s="14">
        <v>45985</v>
      </c>
      <c r="B27" s="8">
        <f>3+4+6+2+6+6+6+3+2</f>
        <v>38</v>
      </c>
      <c r="C27" s="8">
        <f>3+8+2+6+6+6+3+7+2</f>
        <v>43</v>
      </c>
      <c r="D27" s="8"/>
      <c r="E27" s="69">
        <f>6300+13200+4200+5400+7200+11400</f>
        <v>47700</v>
      </c>
      <c r="F27" s="19">
        <f>5400+6300+4200</f>
        <v>15900</v>
      </c>
      <c r="G27" s="136">
        <f>7800+11400+7800+13300</f>
        <v>40300</v>
      </c>
      <c r="H27" s="20">
        <f t="shared" si="1"/>
        <v>63600</v>
      </c>
    </row>
    <row r="28" spans="1:12" ht="21" customHeight="1" thickBot="1">
      <c r="A28" s="14">
        <v>45986</v>
      </c>
      <c r="B28" s="8">
        <f>3+4</f>
        <v>7</v>
      </c>
      <c r="C28" s="8">
        <v>3</v>
      </c>
      <c r="D28" s="8"/>
      <c r="E28" s="69"/>
      <c r="F28" s="19">
        <f>6300+3600</f>
        <v>9900</v>
      </c>
      <c r="G28" s="136"/>
      <c r="H28" s="20">
        <f t="shared" si="1"/>
        <v>9900</v>
      </c>
    </row>
    <row r="29" spans="1:12" ht="21" customHeight="1" thickBot="1">
      <c r="A29" s="14">
        <v>45987</v>
      </c>
      <c r="B29" s="8">
        <f>2+5+6+1</f>
        <v>14</v>
      </c>
      <c r="C29" s="8">
        <f>2+6+1</f>
        <v>9</v>
      </c>
      <c r="D29" s="8">
        <v>6</v>
      </c>
      <c r="E29" s="69">
        <f>1800+6900+12600+6000+2100</f>
        <v>29400</v>
      </c>
      <c r="F29" s="19"/>
      <c r="G29" s="136"/>
      <c r="H29" s="20">
        <f t="shared" si="1"/>
        <v>29400</v>
      </c>
    </row>
    <row r="30" spans="1:12" ht="21" customHeight="1" thickBot="1">
      <c r="A30" s="14">
        <v>45988</v>
      </c>
      <c r="B30" s="8">
        <f>2+4+4+6</f>
        <v>16</v>
      </c>
      <c r="C30" s="8">
        <f>4+4</f>
        <v>8</v>
      </c>
      <c r="D30" s="8">
        <v>1</v>
      </c>
      <c r="E30" s="69">
        <f>6600+8400+6000+5400</f>
        <v>26400</v>
      </c>
      <c r="F30" s="19"/>
      <c r="G30" s="136"/>
      <c r="H30" s="20">
        <f>E30+F30</f>
        <v>26400</v>
      </c>
    </row>
    <row r="31" spans="1:12" ht="21" customHeight="1" thickBot="1">
      <c r="A31" s="14">
        <v>45989</v>
      </c>
      <c r="B31" s="8">
        <f>10+2+6</f>
        <v>18</v>
      </c>
      <c r="C31" s="8">
        <v>2</v>
      </c>
      <c r="D31" s="8"/>
      <c r="E31" s="69">
        <v>5400</v>
      </c>
      <c r="F31" s="19">
        <v>4200</v>
      </c>
      <c r="G31" s="136">
        <v>13000</v>
      </c>
      <c r="H31" s="20">
        <f>E31+F31</f>
        <v>9600</v>
      </c>
    </row>
    <row r="32" spans="1:12" ht="21" customHeight="1" thickBot="1">
      <c r="A32" s="14">
        <v>45990</v>
      </c>
      <c r="B32" s="8">
        <f>6+2+4+6+6+4+5+3+4+5</f>
        <v>45</v>
      </c>
      <c r="C32" s="8">
        <f>4+3+4+8+4+4</f>
        <v>27</v>
      </c>
      <c r="D32" s="8">
        <f>3+1</f>
        <v>4</v>
      </c>
      <c r="E32" s="69">
        <f>3600+5400+5400+13200+4500+5400</f>
        <v>37500</v>
      </c>
      <c r="F32" s="19">
        <f>3000+3600+6600+9300+4800+3900</f>
        <v>31200</v>
      </c>
      <c r="G32" s="136">
        <v>15400</v>
      </c>
      <c r="H32" s="20">
        <f>E32+F32</f>
        <v>68700</v>
      </c>
    </row>
    <row r="33" spans="1:8" ht="21" customHeight="1" thickBot="1">
      <c r="A33" s="14">
        <v>45991</v>
      </c>
      <c r="B33" s="8">
        <f>18+6+8+6+6+6+3+4+6+6+12+4+9+3+3</f>
        <v>100</v>
      </c>
      <c r="C33" s="8">
        <f>6+12+2+12+6+6+2+6+12+4+3+4+12+6</f>
        <v>93</v>
      </c>
      <c r="D33" s="8">
        <f>3+1+3+1</f>
        <v>8</v>
      </c>
      <c r="E33" s="69">
        <f>16200+21600+3000+12600+6000+7800+9600+6000+9200+11500+15600+7800</f>
        <v>126900</v>
      </c>
      <c r="F33" s="19">
        <f>12600+3600+19800+3000+13800+14700+3000</f>
        <v>70500</v>
      </c>
      <c r="G33" s="136">
        <v>40000</v>
      </c>
      <c r="H33" s="20">
        <f>E33+F33</f>
        <v>197400</v>
      </c>
    </row>
    <row r="34" spans="1:8" ht="21" customHeight="1" thickBot="1">
      <c r="A34" s="14"/>
      <c r="B34" s="8"/>
      <c r="C34" s="8"/>
      <c r="D34" s="8"/>
      <c r="E34" s="69"/>
      <c r="F34" s="19"/>
      <c r="G34" s="136"/>
      <c r="H34" s="20">
        <f>E34+F34</f>
        <v>0</v>
      </c>
    </row>
    <row r="35" spans="1:8" ht="21" customHeight="1">
      <c r="A35" s="14"/>
      <c r="B35" s="9"/>
      <c r="C35" s="9"/>
      <c r="D35" s="9"/>
      <c r="E35" s="9"/>
      <c r="F35" s="9"/>
      <c r="G35" s="9"/>
    </row>
    <row r="36" spans="1:8" ht="21" customHeight="1">
      <c r="A36" s="14"/>
      <c r="B36" s="9"/>
      <c r="C36" s="9"/>
      <c r="D36" s="9"/>
      <c r="E36" s="9"/>
      <c r="F36" s="9"/>
      <c r="G36" s="9"/>
    </row>
    <row r="37" spans="1:8" ht="21" customHeight="1">
      <c r="A37" s="14"/>
      <c r="B37" s="9"/>
      <c r="C37" s="9"/>
      <c r="D37" s="9"/>
      <c r="E37" s="9"/>
      <c r="F37" s="9"/>
      <c r="G37" s="9"/>
    </row>
    <row r="38" spans="1:8" ht="21" customHeight="1">
      <c r="A38" s="14"/>
      <c r="B38" s="9"/>
      <c r="C38" s="9"/>
      <c r="D38" s="9"/>
      <c r="E38" s="9"/>
      <c r="F38" s="9"/>
      <c r="G38" s="9"/>
    </row>
    <row r="39" spans="1:8" ht="21" customHeight="1">
      <c r="A39" s="14"/>
      <c r="B39" s="9"/>
      <c r="C39" s="9"/>
      <c r="D39" s="9"/>
      <c r="E39" s="9"/>
      <c r="F39" s="9"/>
      <c r="G39" s="9"/>
    </row>
    <row r="40" spans="1:8" ht="21" customHeight="1">
      <c r="A40" s="14"/>
      <c r="B40" s="9"/>
      <c r="C40" s="9"/>
      <c r="D40" s="9"/>
      <c r="E40" s="9"/>
      <c r="F40" s="9"/>
      <c r="G40" s="9"/>
    </row>
    <row r="41" spans="1:8" ht="21" customHeight="1">
      <c r="A41" s="9"/>
      <c r="B41" s="9"/>
      <c r="C41" s="9"/>
      <c r="D41" s="9"/>
      <c r="E41" s="9"/>
      <c r="F41" s="9"/>
      <c r="G41" s="9"/>
    </row>
    <row r="42" spans="1:8" ht="20.25">
      <c r="A42" s="7"/>
      <c r="B42" s="7"/>
      <c r="C42" s="7"/>
      <c r="D42" s="7"/>
      <c r="E42" s="7"/>
      <c r="F42" s="7"/>
      <c r="G42" s="7"/>
    </row>
    <row r="43" spans="1:8" ht="20.25">
      <c r="A43" s="7"/>
      <c r="B43" s="7"/>
      <c r="C43" s="7"/>
      <c r="D43" s="7"/>
      <c r="E43" s="7"/>
      <c r="F43" s="7"/>
      <c r="G43" s="7"/>
    </row>
    <row r="44" spans="1:8" ht="20.25">
      <c r="A44" s="7"/>
      <c r="B44" s="7"/>
      <c r="C44" s="7"/>
      <c r="D44" s="7"/>
      <c r="E44" s="7"/>
      <c r="F44" s="7"/>
      <c r="G44" s="7"/>
    </row>
  </sheetData>
  <mergeCells count="5">
    <mergeCell ref="A1:F1"/>
    <mergeCell ref="B2:C2"/>
    <mergeCell ref="E2:G2"/>
    <mergeCell ref="J2:K2"/>
    <mergeCell ref="J9:K9"/>
  </mergeCells>
  <pageMargins left="0.7" right="0.7" top="0.75" bottom="0.75" header="0.3" footer="0.3"/>
  <pageSetup orientation="portrait" copies="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5B1D-B5C7-40C9-8709-4398960DD8E0}">
  <dimension ref="A1:BB224"/>
  <sheetViews>
    <sheetView topLeftCell="F1" zoomScaleNormal="100" workbookViewId="0">
      <pane ySplit="3" topLeftCell="A19" activePane="bottomLeft" state="frozen"/>
      <selection activeCell="F39" sqref="F39"/>
      <selection pane="bottomLeft" activeCell="M24" sqref="M24"/>
    </sheetView>
  </sheetViews>
  <sheetFormatPr baseColWidth="10" defaultRowHeight="14.25"/>
  <cols>
    <col min="1" max="1" width="11" style="25"/>
    <col min="2" max="2" width="9.375" style="25" customWidth="1"/>
    <col min="3" max="3" width="19" style="25" customWidth="1"/>
    <col min="4" max="4" width="32.125" style="25" customWidth="1"/>
    <col min="5" max="5" width="10.125" style="25" customWidth="1"/>
    <col min="6" max="6" width="72.875" style="25" customWidth="1"/>
    <col min="7" max="7" width="13.75" style="25" customWidth="1"/>
    <col min="8" max="8" width="15.25" style="57" hidden="1" customWidth="1"/>
    <col min="9" max="9" width="15.625" style="57" hidden="1" customWidth="1"/>
    <col min="10" max="10" width="13.25" style="57" hidden="1" customWidth="1"/>
    <col min="11" max="11" width="15.625" style="25" customWidth="1"/>
    <col min="12" max="12" width="16.375" bestFit="1" customWidth="1"/>
    <col min="13" max="13" width="14.5" customWidth="1"/>
    <col min="14" max="14" width="13.25" customWidth="1"/>
  </cols>
  <sheetData>
    <row r="1" spans="1:54" s="85" customFormat="1">
      <c r="A1" s="80" t="s">
        <v>15</v>
      </c>
      <c r="B1" s="81"/>
      <c r="C1" s="81"/>
      <c r="D1" s="81"/>
      <c r="E1" s="81"/>
      <c r="F1" s="81"/>
      <c r="G1" s="81"/>
      <c r="H1" s="82"/>
      <c r="I1" s="82"/>
      <c r="J1" s="82"/>
      <c r="K1" s="83"/>
      <c r="L1" s="84"/>
      <c r="M1" s="84"/>
    </row>
    <row r="2" spans="1:54" s="85" customFormat="1">
      <c r="A2" s="86"/>
      <c r="B2" s="87"/>
      <c r="C2" s="87"/>
      <c r="D2" s="87"/>
      <c r="E2" s="87"/>
      <c r="F2" s="87"/>
      <c r="G2" s="87"/>
      <c r="H2" s="88"/>
      <c r="I2" s="88"/>
      <c r="J2" s="88"/>
      <c r="K2" s="235" t="s">
        <v>25</v>
      </c>
      <c r="L2" s="235"/>
      <c r="M2" s="235"/>
    </row>
    <row r="3" spans="1:54" s="85" customFormat="1">
      <c r="A3" s="90" t="s">
        <v>16</v>
      </c>
      <c r="B3" s="90" t="s">
        <v>17</v>
      </c>
      <c r="C3" s="90" t="s">
        <v>18</v>
      </c>
      <c r="D3" s="90" t="s">
        <v>19</v>
      </c>
      <c r="E3" s="90" t="s">
        <v>87</v>
      </c>
      <c r="F3" s="90" t="s">
        <v>20</v>
      </c>
      <c r="G3" s="90" t="s">
        <v>21</v>
      </c>
      <c r="H3" s="91" t="s">
        <v>22</v>
      </c>
      <c r="I3" s="91" t="s">
        <v>23</v>
      </c>
      <c r="J3" s="91" t="s">
        <v>24</v>
      </c>
      <c r="K3" s="142" t="s">
        <v>4</v>
      </c>
      <c r="L3" s="143" t="s">
        <v>37</v>
      </c>
      <c r="M3" s="144" t="s">
        <v>126</v>
      </c>
    </row>
    <row r="4" spans="1:54">
      <c r="A4" s="35">
        <v>45992</v>
      </c>
      <c r="B4" s="152" t="s">
        <v>41</v>
      </c>
      <c r="C4" s="152" t="s">
        <v>30</v>
      </c>
      <c r="D4" s="153" t="s">
        <v>33</v>
      </c>
      <c r="E4" s="152">
        <v>200</v>
      </c>
      <c r="F4" s="154" t="s">
        <v>180</v>
      </c>
      <c r="G4" s="158">
        <f>168.5*E4</f>
        <v>33700</v>
      </c>
      <c r="H4" s="156"/>
      <c r="I4" s="39"/>
      <c r="J4" s="39"/>
      <c r="K4" s="33"/>
      <c r="L4" s="33"/>
    </row>
    <row r="5" spans="1:54">
      <c r="A5" s="35">
        <v>45992</v>
      </c>
      <c r="B5" s="48" t="s">
        <v>41</v>
      </c>
      <c r="C5" s="151" t="s">
        <v>31</v>
      </c>
      <c r="D5" s="47" t="s">
        <v>33</v>
      </c>
      <c r="E5" s="48">
        <v>200</v>
      </c>
      <c r="F5" s="155" t="s">
        <v>181</v>
      </c>
      <c r="G5" s="159">
        <f>490*E5</f>
        <v>98000</v>
      </c>
      <c r="H5" s="157"/>
      <c r="I5" s="51"/>
      <c r="J5" s="51"/>
      <c r="K5" s="33">
        <f>G4+G5</f>
        <v>131700</v>
      </c>
      <c r="L5" s="33"/>
    </row>
    <row r="6" spans="1:54">
      <c r="A6" s="40">
        <v>45992</v>
      </c>
      <c r="B6" s="31" t="s">
        <v>41</v>
      </c>
      <c r="C6" s="42" t="s">
        <v>65</v>
      </c>
      <c r="D6" s="40" t="s">
        <v>112</v>
      </c>
      <c r="E6" s="42">
        <v>400</v>
      </c>
      <c r="F6" s="43" t="s">
        <v>182</v>
      </c>
      <c r="G6" s="33">
        <v>6470</v>
      </c>
      <c r="H6" s="44"/>
      <c r="I6" s="44"/>
      <c r="J6" s="44"/>
      <c r="K6" s="33"/>
      <c r="L6" s="50">
        <f>G6</f>
        <v>6470</v>
      </c>
    </row>
    <row r="7" spans="1:54">
      <c r="A7" s="47">
        <v>45995</v>
      </c>
      <c r="B7" s="48" t="s">
        <v>41</v>
      </c>
      <c r="C7" s="48" t="s">
        <v>32</v>
      </c>
      <c r="D7" s="47" t="s">
        <v>119</v>
      </c>
      <c r="E7" s="48">
        <v>1</v>
      </c>
      <c r="F7" s="49" t="s">
        <v>183</v>
      </c>
      <c r="G7" s="50">
        <v>44500</v>
      </c>
      <c r="H7" s="39"/>
      <c r="I7" s="39"/>
      <c r="J7" s="39"/>
      <c r="K7" s="50">
        <f>G7</f>
        <v>44500</v>
      </c>
      <c r="L7" s="50">
        <v>0</v>
      </c>
    </row>
    <row r="8" spans="1:54">
      <c r="A8" s="35">
        <v>46000</v>
      </c>
      <c r="B8" s="152" t="s">
        <v>41</v>
      </c>
      <c r="C8" s="152" t="s">
        <v>30</v>
      </c>
      <c r="D8" s="153" t="s">
        <v>33</v>
      </c>
      <c r="E8" s="152">
        <v>200</v>
      </c>
      <c r="F8" s="154" t="s">
        <v>180</v>
      </c>
      <c r="G8" s="158">
        <f>168.5*E8</f>
        <v>33700</v>
      </c>
      <c r="H8" s="156"/>
      <c r="I8" s="39"/>
      <c r="J8" s="39"/>
      <c r="K8" s="33">
        <f>G8</f>
        <v>33700</v>
      </c>
      <c r="L8" s="33"/>
    </row>
    <row r="9" spans="1:54" s="165" customFormat="1">
      <c r="A9" s="161">
        <v>46020</v>
      </c>
      <c r="B9" s="161" t="s">
        <v>41</v>
      </c>
      <c r="C9" s="162" t="s">
        <v>147</v>
      </c>
      <c r="D9" s="161" t="s">
        <v>147</v>
      </c>
      <c r="E9" s="162">
        <v>1</v>
      </c>
      <c r="F9" s="163" t="s">
        <v>184</v>
      </c>
      <c r="G9" s="164">
        <f>21827+2559.04+5121.07</f>
        <v>29507.11</v>
      </c>
      <c r="H9" s="164"/>
      <c r="I9" s="164"/>
      <c r="J9" s="164"/>
      <c r="K9" s="164">
        <v>0</v>
      </c>
      <c r="L9" s="164"/>
      <c r="M9" s="166">
        <f>G9</f>
        <v>29507.11</v>
      </c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</row>
    <row r="10" spans="1:54">
      <c r="A10" s="47">
        <v>46000</v>
      </c>
      <c r="B10" s="48" t="s">
        <v>41</v>
      </c>
      <c r="C10" s="48" t="s">
        <v>32</v>
      </c>
      <c r="D10" s="47" t="s">
        <v>119</v>
      </c>
      <c r="E10" s="48">
        <v>1</v>
      </c>
      <c r="F10" s="49" t="s">
        <v>183</v>
      </c>
      <c r="G10" s="50">
        <v>44200</v>
      </c>
      <c r="H10" s="39"/>
      <c r="I10" s="39"/>
      <c r="J10" s="39"/>
      <c r="K10" s="50">
        <f>G10</f>
        <v>44200</v>
      </c>
      <c r="L10" s="50">
        <v>0</v>
      </c>
    </row>
    <row r="11" spans="1:54" s="165" customFormat="1">
      <c r="A11" s="161">
        <v>46020</v>
      </c>
      <c r="B11" s="161" t="s">
        <v>41</v>
      </c>
      <c r="C11" s="162" t="s">
        <v>147</v>
      </c>
      <c r="D11" s="161" t="s">
        <v>147</v>
      </c>
      <c r="E11" s="162">
        <v>1</v>
      </c>
      <c r="F11" s="163" t="s">
        <v>185</v>
      </c>
      <c r="G11" s="164">
        <f>29688.3+5539.28+22900-9239.74</f>
        <v>48887.840000000004</v>
      </c>
      <c r="H11" s="164"/>
      <c r="I11" s="164"/>
      <c r="J11" s="164"/>
      <c r="K11" s="164">
        <v>0</v>
      </c>
      <c r="L11" s="164"/>
      <c r="M11" s="166">
        <f>G11</f>
        <v>48887.840000000004</v>
      </c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</row>
    <row r="12" spans="1:54">
      <c r="A12" s="35">
        <v>46000</v>
      </c>
      <c r="B12" s="152" t="s">
        <v>41</v>
      </c>
      <c r="C12" s="152" t="s">
        <v>30</v>
      </c>
      <c r="D12" s="153" t="s">
        <v>33</v>
      </c>
      <c r="E12" s="152">
        <v>200</v>
      </c>
      <c r="F12" s="154" t="s">
        <v>186</v>
      </c>
      <c r="G12" s="158">
        <v>98000</v>
      </c>
      <c r="H12" s="156"/>
      <c r="I12" s="39"/>
      <c r="J12" s="39"/>
      <c r="K12" s="33">
        <f>G12</f>
        <v>98000</v>
      </c>
      <c r="L12" s="33"/>
    </row>
    <row r="13" spans="1:54">
      <c r="A13" s="30">
        <v>46004</v>
      </c>
      <c r="B13" s="30" t="s">
        <v>41</v>
      </c>
      <c r="C13" s="31" t="s">
        <v>26</v>
      </c>
      <c r="D13" s="30" t="s">
        <v>42</v>
      </c>
      <c r="E13" s="31">
        <v>1</v>
      </c>
      <c r="F13" s="32" t="s">
        <v>143</v>
      </c>
      <c r="G13" s="33">
        <v>15000</v>
      </c>
      <c r="H13" s="34"/>
      <c r="I13" s="34"/>
      <c r="J13" s="34"/>
      <c r="K13" s="33"/>
      <c r="L13" s="33">
        <f>G13</f>
        <v>15000</v>
      </c>
    </row>
    <row r="14" spans="1:54">
      <c r="A14" s="35">
        <v>46007</v>
      </c>
      <c r="B14" s="152" t="s">
        <v>41</v>
      </c>
      <c r="C14" s="152" t="s">
        <v>30</v>
      </c>
      <c r="D14" s="153" t="s">
        <v>33</v>
      </c>
      <c r="E14" s="152">
        <v>200</v>
      </c>
      <c r="F14" s="154" t="s">
        <v>180</v>
      </c>
      <c r="G14" s="158">
        <f>168.5*E14</f>
        <v>33700</v>
      </c>
      <c r="H14" s="156"/>
      <c r="I14" s="39"/>
      <c r="J14" s="39"/>
      <c r="K14" s="33"/>
      <c r="L14" s="33"/>
    </row>
    <row r="15" spans="1:54">
      <c r="A15" s="35">
        <v>46007</v>
      </c>
      <c r="B15" s="48" t="s">
        <v>41</v>
      </c>
      <c r="C15" s="151" t="s">
        <v>31</v>
      </c>
      <c r="D15" s="47" t="s">
        <v>33</v>
      </c>
      <c r="E15" s="48">
        <v>100</v>
      </c>
      <c r="F15" s="155" t="s">
        <v>187</v>
      </c>
      <c r="G15" s="159">
        <v>24500</v>
      </c>
      <c r="H15" s="157"/>
      <c r="I15" s="51"/>
      <c r="J15" s="51"/>
      <c r="K15" s="33">
        <f>G14+G15</f>
        <v>58200</v>
      </c>
      <c r="L15" s="33"/>
    </row>
    <row r="16" spans="1:54">
      <c r="A16" s="47">
        <v>46010</v>
      </c>
      <c r="B16" s="48" t="s">
        <v>41</v>
      </c>
      <c r="C16" s="48" t="s">
        <v>32</v>
      </c>
      <c r="D16" s="47" t="s">
        <v>47</v>
      </c>
      <c r="E16" s="48">
        <v>2</v>
      </c>
      <c r="F16" s="49" t="s">
        <v>188</v>
      </c>
      <c r="G16" s="50">
        <f>25500*2</f>
        <v>51000</v>
      </c>
      <c r="H16" s="39"/>
      <c r="I16" s="39"/>
      <c r="J16" s="39"/>
      <c r="K16" s="50">
        <f>G16</f>
        <v>51000</v>
      </c>
      <c r="L16" s="50">
        <v>0</v>
      </c>
    </row>
    <row r="17" spans="1:54" s="165" customFormat="1">
      <c r="A17" s="161">
        <v>46010</v>
      </c>
      <c r="B17" s="161" t="s">
        <v>41</v>
      </c>
      <c r="C17" s="162" t="s">
        <v>147</v>
      </c>
      <c r="D17" s="161" t="s">
        <v>147</v>
      </c>
      <c r="E17" s="162">
        <v>1</v>
      </c>
      <c r="F17" s="163" t="s">
        <v>189</v>
      </c>
      <c r="G17" s="164">
        <f>31961.12+6711.84</f>
        <v>38672.959999999999</v>
      </c>
      <c r="H17" s="164"/>
      <c r="I17" s="164"/>
      <c r="J17" s="164"/>
      <c r="K17" s="164">
        <v>0</v>
      </c>
      <c r="L17" s="164"/>
      <c r="M17" s="166">
        <f>G17</f>
        <v>38672.959999999999</v>
      </c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</row>
    <row r="18" spans="1:54">
      <c r="A18" s="30">
        <v>45941</v>
      </c>
      <c r="B18" s="31" t="s">
        <v>41</v>
      </c>
      <c r="C18" s="31" t="s">
        <v>46</v>
      </c>
      <c r="D18" s="31" t="s">
        <v>56</v>
      </c>
      <c r="E18" s="31">
        <v>1</v>
      </c>
      <c r="F18" s="32" t="s">
        <v>162</v>
      </c>
      <c r="G18" s="33">
        <v>44580.74</v>
      </c>
      <c r="H18" s="33"/>
      <c r="I18" s="33"/>
      <c r="J18" s="33"/>
      <c r="K18" s="33"/>
      <c r="L18" s="33">
        <f>G18</f>
        <v>44580.74</v>
      </c>
    </row>
    <row r="19" spans="1:54">
      <c r="A19" s="30">
        <v>46011</v>
      </c>
      <c r="B19" s="42" t="s">
        <v>41</v>
      </c>
      <c r="C19" s="31" t="s">
        <v>38</v>
      </c>
      <c r="D19" s="30" t="s">
        <v>132</v>
      </c>
      <c r="E19" s="31">
        <v>2</v>
      </c>
      <c r="F19" s="32" t="s">
        <v>190</v>
      </c>
      <c r="G19" s="33">
        <f>9000*2</f>
        <v>18000</v>
      </c>
      <c r="H19" s="34"/>
      <c r="I19" s="34"/>
      <c r="J19" s="34"/>
      <c r="K19" s="33">
        <f>G19</f>
        <v>18000</v>
      </c>
      <c r="L19" s="33"/>
    </row>
    <row r="20" spans="1:54">
      <c r="A20" s="30">
        <v>46012</v>
      </c>
      <c r="B20" s="31" t="s">
        <v>41</v>
      </c>
      <c r="C20" s="31" t="s">
        <v>58</v>
      </c>
      <c r="D20" s="31" t="s">
        <v>59</v>
      </c>
      <c r="E20" s="31"/>
      <c r="F20" s="32" t="s">
        <v>165</v>
      </c>
      <c r="G20" s="33">
        <v>16000</v>
      </c>
      <c r="H20" s="33"/>
      <c r="I20" s="33"/>
      <c r="J20" s="33"/>
      <c r="K20" s="33">
        <f>G20</f>
        <v>16000</v>
      </c>
      <c r="L20" s="33"/>
    </row>
    <row r="21" spans="1:54">
      <c r="A21" s="35">
        <v>45992</v>
      </c>
      <c r="B21" s="152" t="s">
        <v>41</v>
      </c>
      <c r="C21" s="152" t="s">
        <v>30</v>
      </c>
      <c r="D21" s="153" t="s">
        <v>33</v>
      </c>
      <c r="E21" s="152">
        <v>200</v>
      </c>
      <c r="F21" s="154" t="s">
        <v>180</v>
      </c>
      <c r="G21" s="158">
        <f>168.5*E21</f>
        <v>33700</v>
      </c>
      <c r="H21" s="156"/>
      <c r="I21" s="39"/>
      <c r="J21" s="39"/>
      <c r="K21" s="33"/>
      <c r="L21" s="33"/>
    </row>
    <row r="22" spans="1:54">
      <c r="A22" s="35">
        <v>45992</v>
      </c>
      <c r="B22" s="48" t="s">
        <v>41</v>
      </c>
      <c r="C22" s="151" t="s">
        <v>31</v>
      </c>
      <c r="D22" s="47" t="s">
        <v>33</v>
      </c>
      <c r="E22" s="48">
        <v>100</v>
      </c>
      <c r="F22" s="155" t="s">
        <v>187</v>
      </c>
      <c r="G22" s="159">
        <v>24500</v>
      </c>
      <c r="H22" s="157"/>
      <c r="I22" s="51"/>
      <c r="J22" s="51"/>
      <c r="K22" s="33">
        <f>G21+G22</f>
        <v>58200</v>
      </c>
      <c r="L22" s="33"/>
    </row>
    <row r="23" spans="1:54" s="165" customFormat="1" ht="15" thickBot="1">
      <c r="A23" s="161">
        <v>46017</v>
      </c>
      <c r="B23" s="161" t="s">
        <v>41</v>
      </c>
      <c r="C23" s="162" t="s">
        <v>147</v>
      </c>
      <c r="D23" s="161" t="s">
        <v>147</v>
      </c>
      <c r="E23" s="162">
        <v>1</v>
      </c>
      <c r="F23" s="163" t="s">
        <v>191</v>
      </c>
      <c r="G23" s="164">
        <f>62064.57+12576.59+58700-2176.06</f>
        <v>131165.1</v>
      </c>
      <c r="H23" s="164"/>
      <c r="I23" s="164"/>
      <c r="J23" s="164"/>
      <c r="K23" s="164">
        <v>0</v>
      </c>
      <c r="L23" s="164"/>
      <c r="M23" s="166">
        <f>G23</f>
        <v>131165.1</v>
      </c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</row>
    <row r="24" spans="1:54">
      <c r="A24" s="103">
        <v>45945</v>
      </c>
      <c r="B24" s="104" t="s">
        <v>41</v>
      </c>
      <c r="C24" s="105" t="s">
        <v>88</v>
      </c>
      <c r="D24" s="104" t="s">
        <v>89</v>
      </c>
      <c r="E24" s="105"/>
      <c r="F24" s="106" t="s">
        <v>203</v>
      </c>
      <c r="G24" s="107">
        <v>450000</v>
      </c>
      <c r="H24" s="107"/>
      <c r="I24" s="107"/>
      <c r="J24" s="107"/>
      <c r="K24" s="107">
        <v>183000</v>
      </c>
      <c r="L24" s="108"/>
      <c r="M24" s="131">
        <f>G24-K24</f>
        <v>267000</v>
      </c>
      <c r="N24" s="131"/>
    </row>
    <row r="25" spans="1:54" ht="15" thickBot="1">
      <c r="A25" s="109">
        <v>45945</v>
      </c>
      <c r="B25" s="110" t="s">
        <v>41</v>
      </c>
      <c r="C25" s="111" t="s">
        <v>88</v>
      </c>
      <c r="D25" s="110" t="s">
        <v>91</v>
      </c>
      <c r="E25" s="111"/>
      <c r="F25" s="112" t="s">
        <v>204</v>
      </c>
      <c r="G25" s="113">
        <v>450000</v>
      </c>
      <c r="H25" s="113"/>
      <c r="I25" s="113"/>
      <c r="J25" s="113"/>
      <c r="K25" s="113">
        <v>100000</v>
      </c>
      <c r="L25" s="114">
        <v>290000</v>
      </c>
      <c r="M25" s="131">
        <f>G25-K25-L25</f>
        <v>60000</v>
      </c>
    </row>
    <row r="26" spans="1:54">
      <c r="A26" s="47"/>
      <c r="B26" s="48"/>
      <c r="C26" s="31"/>
      <c r="D26" s="30"/>
      <c r="E26" s="31"/>
      <c r="F26" s="32"/>
      <c r="G26" s="50"/>
      <c r="H26" s="39"/>
      <c r="I26" s="39"/>
      <c r="J26" s="39"/>
      <c r="K26" s="50">
        <f>G26</f>
        <v>0</v>
      </c>
      <c r="L26" s="50"/>
    </row>
    <row r="27" spans="1:54">
      <c r="A27" s="47"/>
      <c r="B27" s="48"/>
      <c r="C27" s="31"/>
      <c r="D27" s="30"/>
      <c r="E27" s="31"/>
      <c r="F27" s="32"/>
      <c r="G27" s="50"/>
      <c r="H27" s="39"/>
      <c r="I27" s="39"/>
      <c r="J27" s="39"/>
      <c r="K27" s="50"/>
      <c r="L27" s="50"/>
    </row>
    <row r="28" spans="1:54">
      <c r="A28" s="47"/>
      <c r="B28" s="48"/>
      <c r="C28" s="31"/>
      <c r="D28" s="30"/>
      <c r="E28" s="31"/>
      <c r="F28" s="32"/>
      <c r="G28" s="131">
        <f>G4+G5+G6+G7+G8+G9+G10+G11+G12+G13+G14+G15+G16+G17+G18+G19+G20+G21+G22+G23</f>
        <v>867783.74999999988</v>
      </c>
      <c r="H28" s="39"/>
      <c r="I28" s="39"/>
      <c r="J28" s="39"/>
      <c r="K28" s="50"/>
      <c r="L28" s="50"/>
      <c r="M28" s="131"/>
    </row>
    <row r="29" spans="1:54">
      <c r="A29" s="47"/>
      <c r="B29" s="48"/>
      <c r="C29" s="31"/>
      <c r="D29" s="30"/>
      <c r="E29" s="31"/>
      <c r="F29" s="32"/>
      <c r="G29" s="50"/>
      <c r="H29" s="39"/>
      <c r="I29" s="39"/>
      <c r="J29" s="39"/>
      <c r="K29" s="50"/>
      <c r="L29" s="50"/>
    </row>
    <row r="30" spans="1:54">
      <c r="A30" s="47"/>
      <c r="B30" s="48"/>
      <c r="C30" s="31"/>
      <c r="D30" s="30"/>
      <c r="E30" s="31"/>
      <c r="F30" s="32"/>
      <c r="G30" s="50"/>
      <c r="H30" s="39"/>
      <c r="I30" s="39"/>
      <c r="J30" s="39"/>
      <c r="K30" s="50"/>
      <c r="L30" s="50"/>
    </row>
    <row r="31" spans="1:54">
      <c r="A31" s="47"/>
      <c r="B31" s="48"/>
      <c r="C31" s="31"/>
      <c r="D31" s="30"/>
      <c r="E31" s="31"/>
      <c r="F31" s="32"/>
      <c r="G31" s="50"/>
      <c r="H31" s="39"/>
      <c r="I31" s="39"/>
      <c r="J31" s="39"/>
      <c r="K31" s="50"/>
      <c r="L31" s="50"/>
    </row>
    <row r="32" spans="1:54">
      <c r="A32" s="47"/>
      <c r="B32" s="48"/>
      <c r="C32" s="31"/>
      <c r="D32" s="30"/>
      <c r="E32" s="31"/>
      <c r="F32" s="32"/>
      <c r="G32" s="50"/>
      <c r="H32" s="39"/>
      <c r="I32" s="39"/>
      <c r="J32" s="39"/>
      <c r="K32" s="50"/>
      <c r="L32" s="50"/>
    </row>
    <row r="33" spans="1:54" s="165" customFormat="1">
      <c r="A33" s="161"/>
      <c r="B33" s="161"/>
      <c r="C33" s="162"/>
      <c r="D33" s="161"/>
      <c r="E33" s="162"/>
      <c r="F33" s="163"/>
      <c r="G33" s="164"/>
      <c r="H33" s="164"/>
      <c r="I33" s="164"/>
      <c r="J33" s="164"/>
      <c r="K33" s="164"/>
      <c r="L33" s="164"/>
      <c r="M33" s="166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</row>
    <row r="34" spans="1:54" ht="15" thickBot="1">
      <c r="A34" s="35"/>
      <c r="B34" s="152"/>
      <c r="C34" s="152"/>
      <c r="D34" s="153"/>
      <c r="E34" s="152"/>
      <c r="F34" s="154"/>
      <c r="G34" s="158"/>
      <c r="H34" s="156"/>
      <c r="I34" s="39"/>
      <c r="J34" s="39"/>
      <c r="K34" s="33"/>
      <c r="L34" s="33"/>
    </row>
    <row r="35" spans="1:54">
      <c r="A35" s="103"/>
      <c r="B35" s="104"/>
      <c r="C35" s="105"/>
      <c r="D35" s="104"/>
      <c r="E35" s="105"/>
      <c r="F35" s="106"/>
      <c r="G35" s="107"/>
      <c r="H35" s="107"/>
      <c r="I35" s="107"/>
      <c r="J35" s="107"/>
      <c r="K35" s="107"/>
      <c r="L35" s="108"/>
      <c r="M35" s="205"/>
    </row>
    <row r="36" spans="1:54" ht="15" thickBot="1">
      <c r="A36" s="109"/>
      <c r="B36" s="110"/>
      <c r="C36" s="111"/>
      <c r="D36" s="110"/>
      <c r="E36" s="111"/>
      <c r="F36" s="112"/>
      <c r="G36" s="113"/>
      <c r="H36" s="113"/>
      <c r="I36" s="113"/>
      <c r="J36" s="113"/>
      <c r="K36" s="113"/>
      <c r="L36" s="114"/>
      <c r="M36" s="206"/>
    </row>
    <row r="37" spans="1:54">
      <c r="A37" s="30"/>
      <c r="B37" s="30"/>
      <c r="C37" s="31"/>
      <c r="D37" s="30"/>
      <c r="E37" s="31"/>
      <c r="F37" s="32"/>
      <c r="G37" s="33"/>
      <c r="H37" s="34"/>
      <c r="I37" s="34"/>
      <c r="J37" s="34"/>
      <c r="K37" s="33"/>
      <c r="L37" s="33"/>
    </row>
    <row r="38" spans="1:54" s="165" customFormat="1">
      <c r="A38" s="161"/>
      <c r="B38" s="161"/>
      <c r="C38" s="162"/>
      <c r="D38" s="161"/>
      <c r="E38" s="162"/>
      <c r="F38" s="163"/>
      <c r="G38" s="164"/>
      <c r="H38" s="164"/>
      <c r="I38" s="164"/>
      <c r="J38" s="164"/>
      <c r="K38" s="164"/>
      <c r="L38" s="164"/>
      <c r="M38" s="166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167"/>
      <c r="BA38" s="167"/>
      <c r="BB38" s="167"/>
    </row>
    <row r="39" spans="1:54">
      <c r="A39" s="35"/>
      <c r="B39" s="152"/>
      <c r="C39" s="152"/>
      <c r="D39" s="153"/>
      <c r="E39" s="152"/>
      <c r="F39" s="154"/>
      <c r="G39" s="158"/>
      <c r="H39" s="156"/>
      <c r="I39" s="39"/>
      <c r="J39" s="39"/>
      <c r="K39" s="33"/>
      <c r="L39" s="33"/>
    </row>
    <row r="40" spans="1:54">
      <c r="A40" s="35"/>
      <c r="B40" s="48"/>
      <c r="C40" s="151"/>
      <c r="D40" s="47"/>
      <c r="E40" s="48"/>
      <c r="F40" s="155"/>
      <c r="G40" s="159"/>
      <c r="H40" s="157"/>
      <c r="I40" s="51"/>
      <c r="J40" s="51"/>
      <c r="K40" s="33"/>
      <c r="L40" s="33"/>
    </row>
    <row r="41" spans="1:54">
      <c r="A41" s="35"/>
      <c r="B41" s="48"/>
      <c r="C41" s="151"/>
      <c r="D41" s="47"/>
      <c r="E41" s="48"/>
      <c r="F41" s="155"/>
      <c r="G41" s="159"/>
      <c r="H41" s="157"/>
      <c r="I41" s="51"/>
      <c r="J41" s="51"/>
      <c r="K41" s="33"/>
      <c r="L41" s="33"/>
    </row>
    <row r="42" spans="1:54">
      <c r="A42" s="40"/>
      <c r="B42" s="31"/>
      <c r="C42" s="42"/>
      <c r="D42" s="40"/>
      <c r="E42" s="42"/>
      <c r="F42" s="43"/>
      <c r="G42" s="33"/>
      <c r="H42" s="44"/>
      <c r="I42" s="44"/>
      <c r="J42" s="44"/>
      <c r="K42" s="33"/>
      <c r="L42" s="50"/>
    </row>
    <row r="43" spans="1:54">
      <c r="A43" s="30"/>
      <c r="B43" s="31"/>
      <c r="C43" s="31"/>
      <c r="D43" s="31"/>
      <c r="E43" s="31"/>
      <c r="F43" s="32"/>
      <c r="G43" s="33"/>
      <c r="H43" s="33"/>
      <c r="I43" s="33"/>
      <c r="J43" s="33"/>
      <c r="K43" s="33"/>
      <c r="L43" s="33"/>
    </row>
    <row r="44" spans="1:54">
      <c r="A44" s="30"/>
      <c r="B44" s="30"/>
      <c r="C44" s="31"/>
      <c r="D44" s="30"/>
      <c r="E44" s="31"/>
      <c r="F44" s="32"/>
      <c r="G44" s="33"/>
      <c r="H44" s="34"/>
      <c r="I44" s="34"/>
      <c r="J44" s="34"/>
      <c r="K44" s="33"/>
      <c r="L44" s="33"/>
    </row>
    <row r="45" spans="1:54">
      <c r="A45" s="47"/>
      <c r="B45" s="48"/>
      <c r="C45" s="31"/>
      <c r="D45" s="30"/>
      <c r="E45" s="31"/>
      <c r="F45" s="32"/>
      <c r="G45" s="50"/>
      <c r="H45" s="39"/>
      <c r="I45" s="39"/>
      <c r="J45" s="39"/>
      <c r="K45" s="33"/>
      <c r="L45" s="50"/>
      <c r="M45" s="131"/>
    </row>
    <row r="46" spans="1:54" s="165" customFormat="1">
      <c r="A46" s="161"/>
      <c r="B46" s="161"/>
      <c r="C46" s="162"/>
      <c r="D46" s="161"/>
      <c r="E46" s="162"/>
      <c r="F46" s="163"/>
      <c r="G46" s="164"/>
      <c r="H46" s="164"/>
      <c r="I46" s="164"/>
      <c r="J46" s="164"/>
      <c r="K46" s="164"/>
      <c r="L46" s="164"/>
      <c r="M46" s="166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V46" s="167"/>
      <c r="AW46" s="167"/>
      <c r="AX46" s="167"/>
      <c r="AY46" s="167"/>
      <c r="AZ46" s="167"/>
      <c r="BA46" s="167"/>
      <c r="BB46" s="167"/>
    </row>
    <row r="47" spans="1:54">
      <c r="A47" s="30"/>
      <c r="B47" s="31"/>
      <c r="C47" s="31"/>
      <c r="D47" s="31"/>
      <c r="E47" s="31"/>
      <c r="F47" s="32"/>
      <c r="G47" s="33"/>
      <c r="H47" s="33"/>
      <c r="I47" s="33"/>
      <c r="J47" s="33"/>
      <c r="K47" s="33"/>
      <c r="L47" s="33"/>
    </row>
    <row r="48" spans="1:54">
      <c r="A48" s="40"/>
      <c r="B48" s="31"/>
      <c r="C48" s="42"/>
      <c r="D48" s="40"/>
      <c r="E48" s="42"/>
      <c r="F48" s="43"/>
      <c r="G48" s="33"/>
      <c r="H48" s="44"/>
      <c r="I48" s="44"/>
      <c r="J48" s="44"/>
      <c r="K48" s="33"/>
      <c r="L48" s="50"/>
    </row>
    <row r="49" spans="1:54">
      <c r="A49" s="40"/>
      <c r="B49" s="31"/>
      <c r="C49" s="42"/>
      <c r="D49" s="40"/>
      <c r="E49" s="42"/>
      <c r="F49" s="43"/>
      <c r="G49" s="33"/>
      <c r="H49" s="44"/>
      <c r="I49" s="44"/>
      <c r="J49" s="44"/>
      <c r="K49" s="33"/>
      <c r="L49" s="40"/>
    </row>
    <row r="50" spans="1:54">
      <c r="A50" s="47"/>
      <c r="B50" s="48"/>
      <c r="C50" s="31"/>
      <c r="D50" s="30"/>
      <c r="E50" s="31"/>
      <c r="F50" s="32"/>
      <c r="G50" s="50"/>
      <c r="H50" s="39"/>
      <c r="I50" s="39"/>
      <c r="J50" s="39"/>
      <c r="K50" s="50"/>
      <c r="L50" s="50"/>
    </row>
    <row r="51" spans="1:54" s="165" customFormat="1">
      <c r="A51" s="161"/>
      <c r="B51" s="161"/>
      <c r="C51" s="162"/>
      <c r="D51" s="161"/>
      <c r="E51" s="162"/>
      <c r="F51" s="163"/>
      <c r="G51" s="164"/>
      <c r="H51" s="164"/>
      <c r="I51" s="164"/>
      <c r="J51" s="164"/>
      <c r="K51" s="164"/>
      <c r="L51" s="164"/>
      <c r="M51" s="166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7"/>
      <c r="AN51" s="167"/>
      <c r="AO51" s="167"/>
      <c r="AP51" s="167"/>
      <c r="AQ51" s="167"/>
      <c r="AR51" s="167"/>
      <c r="AS51" s="167"/>
      <c r="AT51" s="167"/>
      <c r="AU51" s="167"/>
      <c r="AV51" s="167"/>
      <c r="AW51" s="167"/>
      <c r="AX51" s="167"/>
      <c r="AY51" s="167"/>
      <c r="AZ51" s="167"/>
      <c r="BA51" s="167"/>
      <c r="BB51" s="167"/>
    </row>
    <row r="52" spans="1:54">
      <c r="A52" s="35"/>
      <c r="B52" s="152"/>
      <c r="C52" s="152"/>
      <c r="D52" s="153"/>
      <c r="E52" s="152"/>
      <c r="F52" s="154"/>
      <c r="G52" s="158"/>
      <c r="H52" s="156"/>
      <c r="I52" s="39"/>
      <c r="J52" s="39"/>
      <c r="K52" s="33"/>
      <c r="L52" s="33"/>
    </row>
    <row r="53" spans="1:54" ht="15" thickBot="1">
      <c r="A53" s="35"/>
      <c r="B53" s="152"/>
      <c r="C53" s="152"/>
      <c r="D53" s="153"/>
      <c r="E53" s="152"/>
      <c r="F53" s="154"/>
      <c r="G53" s="158"/>
      <c r="H53" s="156"/>
      <c r="I53" s="39"/>
      <c r="J53" s="39"/>
      <c r="K53" s="33"/>
      <c r="L53" s="33"/>
    </row>
    <row r="54" spans="1:54">
      <c r="A54" s="103"/>
      <c r="B54" s="104"/>
      <c r="C54" s="105"/>
      <c r="D54" s="104"/>
      <c r="E54" s="105"/>
      <c r="F54" s="106"/>
      <c r="G54" s="107"/>
      <c r="H54" s="107"/>
      <c r="I54" s="107"/>
      <c r="J54" s="107"/>
      <c r="K54" s="107"/>
      <c r="L54" s="108"/>
      <c r="M54" s="205"/>
    </row>
    <row r="55" spans="1:54" ht="15" thickBot="1">
      <c r="A55" s="109"/>
      <c r="B55" s="110"/>
      <c r="C55" s="111"/>
      <c r="D55" s="110"/>
      <c r="E55" s="111"/>
      <c r="F55" s="112"/>
      <c r="G55" s="113"/>
      <c r="H55" s="113"/>
      <c r="I55" s="113"/>
      <c r="J55" s="113"/>
      <c r="K55" s="113"/>
      <c r="L55" s="114"/>
      <c r="M55" s="206"/>
    </row>
    <row r="56" spans="1:54" s="190" customFormat="1">
      <c r="A56" s="186"/>
      <c r="B56" s="186"/>
      <c r="C56" s="186"/>
      <c r="D56" s="186"/>
      <c r="E56" s="186"/>
      <c r="F56" s="186"/>
      <c r="G56" s="186"/>
      <c r="H56" s="187"/>
      <c r="I56" s="187"/>
      <c r="J56" s="187"/>
      <c r="K56" s="188"/>
      <c r="L56" s="187"/>
      <c r="M56" s="200"/>
    </row>
    <row r="57" spans="1:54" s="190" customFormat="1">
      <c r="A57" s="186"/>
      <c r="B57" s="186"/>
      <c r="C57" s="186"/>
      <c r="D57" s="186"/>
      <c r="E57" s="186"/>
      <c r="F57" s="186"/>
      <c r="G57" s="186"/>
      <c r="H57" s="187"/>
      <c r="I57" s="187"/>
      <c r="J57" s="187"/>
      <c r="K57" s="188"/>
      <c r="L57" s="191"/>
      <c r="M57" s="200"/>
    </row>
    <row r="58" spans="1:54" s="190" customFormat="1">
      <c r="A58" s="186"/>
      <c r="B58" s="186"/>
      <c r="C58" s="186"/>
      <c r="D58" s="186"/>
      <c r="E58" s="186"/>
      <c r="F58" s="186"/>
      <c r="G58" s="186"/>
      <c r="H58" s="187"/>
      <c r="I58" s="187"/>
      <c r="J58" s="187"/>
      <c r="K58" s="188"/>
      <c r="L58" s="191"/>
      <c r="M58" s="189"/>
    </row>
    <row r="59" spans="1:54" s="190" customFormat="1">
      <c r="A59" s="186"/>
      <c r="B59" s="186"/>
      <c r="C59" s="186"/>
      <c r="D59" s="186"/>
      <c r="E59" s="186"/>
      <c r="F59" s="186"/>
      <c r="G59" s="186"/>
      <c r="H59" s="187"/>
      <c r="I59" s="187"/>
      <c r="J59" s="187"/>
      <c r="K59" s="188"/>
      <c r="L59" s="191"/>
      <c r="M59" s="189"/>
    </row>
    <row r="60" spans="1:54" s="190" customFormat="1">
      <c r="A60" s="186"/>
      <c r="B60" s="186"/>
      <c r="C60" s="186"/>
      <c r="D60" s="186"/>
      <c r="E60" s="186"/>
      <c r="F60" s="186"/>
      <c r="G60" s="186"/>
      <c r="H60" s="187"/>
      <c r="I60" s="187"/>
      <c r="J60" s="187"/>
      <c r="K60" s="188"/>
      <c r="L60" s="191"/>
      <c r="M60" s="189"/>
    </row>
    <row r="61" spans="1:54" s="190" customFormat="1">
      <c r="A61" s="186"/>
      <c r="B61" s="186"/>
      <c r="C61" s="186"/>
      <c r="D61" s="186"/>
      <c r="E61" s="186"/>
      <c r="F61" s="186"/>
      <c r="G61" s="186"/>
      <c r="H61" s="187"/>
      <c r="I61" s="187"/>
      <c r="J61" s="187"/>
      <c r="K61" s="188"/>
      <c r="L61" s="191"/>
      <c r="M61" s="189"/>
    </row>
    <row r="62" spans="1:54" s="190" customFormat="1">
      <c r="A62" s="186"/>
      <c r="B62" s="186"/>
      <c r="C62" s="186"/>
      <c r="D62" s="186"/>
      <c r="E62" s="186"/>
      <c r="F62" s="186"/>
      <c r="G62" s="186"/>
      <c r="H62" s="187"/>
      <c r="I62" s="187"/>
      <c r="J62" s="187"/>
      <c r="K62" s="188"/>
      <c r="L62" s="191"/>
      <c r="M62" s="189"/>
    </row>
    <row r="63" spans="1:54" s="190" customFormat="1">
      <c r="A63" s="186"/>
      <c r="B63" s="186"/>
      <c r="C63" s="186"/>
      <c r="D63" s="186"/>
      <c r="E63" s="186"/>
      <c r="F63" s="186"/>
      <c r="G63" s="186"/>
      <c r="H63" s="187"/>
      <c r="I63" s="187"/>
      <c r="J63" s="187"/>
      <c r="K63" s="188"/>
      <c r="L63" s="191"/>
      <c r="M63" s="189"/>
    </row>
    <row r="64" spans="1:54" s="190" customFormat="1">
      <c r="A64" s="186"/>
      <c r="B64" s="186"/>
      <c r="C64" s="186"/>
      <c r="D64" s="186"/>
      <c r="E64" s="186"/>
      <c r="F64" s="186"/>
      <c r="G64" s="186"/>
      <c r="H64" s="187"/>
      <c r="I64" s="187"/>
      <c r="J64" s="187"/>
      <c r="K64" s="188"/>
      <c r="L64" s="191"/>
      <c r="M64" s="189"/>
    </row>
    <row r="65" spans="1:54" s="190" customFormat="1">
      <c r="A65" s="186"/>
      <c r="B65" s="186"/>
      <c r="C65" s="186"/>
      <c r="D65" s="186"/>
      <c r="E65" s="186"/>
      <c r="F65" s="186"/>
      <c r="G65" s="186"/>
      <c r="H65" s="187"/>
      <c r="I65" s="187"/>
      <c r="J65" s="187"/>
      <c r="K65" s="188"/>
      <c r="L65" s="191"/>
      <c r="M65" s="189"/>
    </row>
    <row r="66" spans="1:54" s="190" customFormat="1">
      <c r="A66" s="186"/>
      <c r="B66" s="186"/>
      <c r="C66" s="186"/>
      <c r="D66" s="186"/>
      <c r="E66" s="186"/>
      <c r="F66" s="186"/>
      <c r="G66" s="186"/>
      <c r="H66" s="187"/>
      <c r="I66" s="187"/>
      <c r="J66" s="187"/>
      <c r="K66" s="188"/>
      <c r="L66" s="191"/>
      <c r="M66" s="189"/>
    </row>
    <row r="67" spans="1:54" s="190" customFormat="1">
      <c r="A67" s="186"/>
      <c r="B67" s="186"/>
      <c r="C67" s="186"/>
      <c r="D67" s="186"/>
      <c r="E67" s="186"/>
      <c r="F67" s="186"/>
      <c r="G67" s="186"/>
      <c r="H67" s="187"/>
      <c r="I67" s="187"/>
      <c r="J67" s="187"/>
      <c r="K67" s="188"/>
      <c r="L67" s="191"/>
      <c r="M67" s="189"/>
    </row>
    <row r="68" spans="1:54" s="190" customFormat="1">
      <c r="A68" s="186"/>
      <c r="B68" s="186"/>
      <c r="C68" s="186"/>
      <c r="D68" s="186"/>
      <c r="E68" s="186"/>
      <c r="F68" s="186"/>
      <c r="G68" s="186"/>
      <c r="H68" s="187"/>
      <c r="I68" s="187"/>
      <c r="J68" s="187"/>
      <c r="K68" s="188"/>
      <c r="L68" s="191"/>
      <c r="M68" s="189"/>
    </row>
    <row r="69" spans="1:54" s="190" customFormat="1">
      <c r="A69" s="186"/>
      <c r="B69" s="186"/>
      <c r="C69" s="186"/>
      <c r="D69" s="186"/>
      <c r="E69" s="186"/>
      <c r="F69" s="186"/>
      <c r="G69" s="186"/>
      <c r="H69" s="187"/>
      <c r="I69" s="187"/>
      <c r="J69" s="187"/>
      <c r="K69" s="188"/>
      <c r="L69" s="191"/>
      <c r="M69" s="189"/>
    </row>
    <row r="70" spans="1:54" s="190" customFormat="1">
      <c r="A70" s="186"/>
      <c r="B70" s="186"/>
      <c r="C70" s="186"/>
      <c r="D70" s="186"/>
      <c r="E70" s="186"/>
      <c r="F70" s="186"/>
      <c r="G70" s="186"/>
      <c r="H70" s="187"/>
      <c r="I70" s="187"/>
      <c r="J70" s="187"/>
      <c r="K70" s="188"/>
      <c r="L70" s="191"/>
      <c r="M70" s="189"/>
    </row>
    <row r="71" spans="1:54" s="190" customFormat="1">
      <c r="A71" s="186"/>
      <c r="B71" s="186"/>
      <c r="C71" s="186"/>
      <c r="D71" s="186"/>
      <c r="E71" s="186"/>
      <c r="F71" s="186"/>
      <c r="G71" s="186"/>
      <c r="H71" s="187"/>
      <c r="I71" s="187"/>
      <c r="J71" s="187"/>
      <c r="K71" s="188"/>
      <c r="L71" s="191"/>
      <c r="M71" s="189"/>
    </row>
    <row r="72" spans="1:54" s="190" customFormat="1">
      <c r="A72" s="186"/>
      <c r="B72" s="186"/>
      <c r="C72" s="186"/>
      <c r="D72" s="186"/>
      <c r="E72" s="186"/>
      <c r="F72" s="186"/>
      <c r="G72" s="186"/>
      <c r="H72" s="187"/>
      <c r="I72" s="187"/>
      <c r="J72" s="187"/>
      <c r="K72" s="188"/>
      <c r="L72" s="191"/>
      <c r="M72" s="189"/>
    </row>
    <row r="73" spans="1:54" s="190" customFormat="1">
      <c r="A73" s="186"/>
      <c r="B73" s="186"/>
      <c r="C73" s="186"/>
      <c r="D73" s="186"/>
      <c r="E73" s="186"/>
      <c r="F73" s="186"/>
      <c r="G73" s="186"/>
      <c r="H73" s="187"/>
      <c r="I73" s="187"/>
      <c r="J73" s="187"/>
      <c r="K73" s="188"/>
      <c r="L73" s="191"/>
      <c r="M73" s="189"/>
    </row>
    <row r="74" spans="1:54" s="190" customFormat="1">
      <c r="A74" s="186"/>
      <c r="B74" s="186"/>
      <c r="C74" s="186"/>
      <c r="D74" s="186"/>
      <c r="E74" s="186"/>
      <c r="F74" s="186"/>
      <c r="G74" s="186"/>
      <c r="H74" s="187"/>
      <c r="I74" s="187"/>
      <c r="J74" s="187"/>
      <c r="K74" s="188"/>
      <c r="L74" s="191"/>
      <c r="M74" s="189"/>
    </row>
    <row r="75" spans="1:54" s="190" customFormat="1">
      <c r="A75" s="186"/>
      <c r="B75" s="186"/>
      <c r="C75" s="186"/>
      <c r="D75" s="186"/>
      <c r="E75" s="186"/>
      <c r="F75" s="186"/>
      <c r="G75" s="186"/>
      <c r="H75" s="187"/>
      <c r="I75" s="187"/>
      <c r="J75" s="187"/>
      <c r="K75" s="188"/>
      <c r="L75" s="191"/>
      <c r="M75" s="189"/>
    </row>
    <row r="76" spans="1:54" s="190" customFormat="1">
      <c r="A76" s="186"/>
      <c r="B76" s="186"/>
      <c r="C76" s="186"/>
      <c r="D76" s="186"/>
      <c r="E76" s="186"/>
      <c r="F76" s="186"/>
      <c r="G76" s="186"/>
      <c r="H76" s="187"/>
      <c r="I76" s="187"/>
      <c r="J76" s="187"/>
      <c r="K76" s="188"/>
      <c r="L76" s="191"/>
      <c r="M76" s="189"/>
    </row>
    <row r="77" spans="1:54" s="190" customFormat="1">
      <c r="A77" s="186"/>
      <c r="B77" s="186"/>
      <c r="C77" s="186"/>
      <c r="D77" s="186"/>
      <c r="E77" s="186"/>
      <c r="F77" s="186"/>
      <c r="G77" s="186"/>
      <c r="H77" s="187"/>
      <c r="I77" s="187"/>
      <c r="J77" s="187"/>
      <c r="K77" s="188"/>
      <c r="L77" s="191"/>
      <c r="M77" s="189"/>
    </row>
    <row r="78" spans="1:54" s="190" customFormat="1">
      <c r="A78" s="186"/>
      <c r="B78" s="186"/>
      <c r="C78" s="186"/>
      <c r="D78" s="186"/>
      <c r="E78" s="186"/>
      <c r="F78" s="186"/>
      <c r="G78" s="186"/>
      <c r="H78" s="187"/>
      <c r="I78" s="187"/>
      <c r="J78" s="187"/>
      <c r="K78" s="188"/>
      <c r="L78" s="191"/>
      <c r="M78" s="189"/>
    </row>
    <row r="79" spans="1:54" s="165" customFormat="1">
      <c r="A79" s="161">
        <v>45930</v>
      </c>
      <c r="B79" s="161" t="s">
        <v>41</v>
      </c>
      <c r="C79" s="162" t="s">
        <v>147</v>
      </c>
      <c r="D79" s="161" t="s">
        <v>147</v>
      </c>
      <c r="E79" s="162">
        <v>1</v>
      </c>
      <c r="F79" s="163" t="s">
        <v>155</v>
      </c>
      <c r="G79" s="164">
        <f>20677+4894.54+7415.75</f>
        <v>32987.29</v>
      </c>
      <c r="H79" s="164"/>
      <c r="I79" s="164"/>
      <c r="J79" s="164"/>
      <c r="K79" s="164">
        <v>0</v>
      </c>
      <c r="L79" s="164"/>
      <c r="M79" s="166">
        <f>G79</f>
        <v>32987.29</v>
      </c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</row>
    <row r="80" spans="1:54">
      <c r="A80" s="35">
        <v>45940</v>
      </c>
      <c r="B80" s="152" t="s">
        <v>41</v>
      </c>
      <c r="C80" s="152" t="s">
        <v>30</v>
      </c>
      <c r="D80" s="153" t="s">
        <v>33</v>
      </c>
      <c r="E80" s="152">
        <v>600</v>
      </c>
      <c r="F80" s="154" t="s">
        <v>160</v>
      </c>
      <c r="G80" s="158">
        <f>62400+31200</f>
        <v>93600</v>
      </c>
      <c r="H80" s="156"/>
      <c r="I80" s="39"/>
      <c r="J80" s="39"/>
      <c r="K80" s="33">
        <f>G80</f>
        <v>93600</v>
      </c>
      <c r="L80" s="33"/>
    </row>
    <row r="81" spans="1:54">
      <c r="A81" s="47">
        <v>45943</v>
      </c>
      <c r="B81" s="48" t="s">
        <v>41</v>
      </c>
      <c r="C81" s="31" t="s">
        <v>32</v>
      </c>
      <c r="D81" s="30" t="s">
        <v>47</v>
      </c>
      <c r="E81" s="31">
        <v>4</v>
      </c>
      <c r="F81" s="32" t="s">
        <v>161</v>
      </c>
      <c r="G81" s="50">
        <f>25000*4</f>
        <v>100000</v>
      </c>
      <c r="H81" s="39"/>
      <c r="I81" s="39"/>
      <c r="J81" s="39"/>
      <c r="K81" s="50">
        <f>SUM(G81)</f>
        <v>100000</v>
      </c>
      <c r="L81" s="50"/>
    </row>
    <row r="82" spans="1:54">
      <c r="A82" s="30">
        <v>45943</v>
      </c>
      <c r="B82" s="30" t="s">
        <v>41</v>
      </c>
      <c r="C82" s="31" t="s">
        <v>26</v>
      </c>
      <c r="D82" s="30" t="s">
        <v>42</v>
      </c>
      <c r="E82" s="31">
        <v>1</v>
      </c>
      <c r="F82" s="32" t="s">
        <v>143</v>
      </c>
      <c r="G82" s="33">
        <v>10000</v>
      </c>
      <c r="H82" s="34"/>
      <c r="I82" s="34"/>
      <c r="J82" s="34"/>
      <c r="K82" s="33"/>
      <c r="L82" s="33">
        <f>G82</f>
        <v>10000</v>
      </c>
    </row>
    <row r="83" spans="1:54">
      <c r="A83" s="30">
        <v>45941</v>
      </c>
      <c r="B83" s="31" t="s">
        <v>41</v>
      </c>
      <c r="C83" s="31" t="s">
        <v>46</v>
      </c>
      <c r="D83" s="31" t="s">
        <v>56</v>
      </c>
      <c r="E83" s="31">
        <v>1</v>
      </c>
      <c r="F83" s="32" t="s">
        <v>162</v>
      </c>
      <c r="G83" s="33">
        <v>11677.6</v>
      </c>
      <c r="H83" s="33"/>
      <c r="I83" s="33"/>
      <c r="J83" s="33"/>
      <c r="K83" s="33"/>
      <c r="L83" s="33">
        <f>G83</f>
        <v>11677.6</v>
      </c>
    </row>
    <row r="84" spans="1:54" s="165" customFormat="1" ht="15" thickBot="1">
      <c r="A84" s="161">
        <v>45930</v>
      </c>
      <c r="B84" s="161" t="s">
        <v>41</v>
      </c>
      <c r="C84" s="162" t="s">
        <v>147</v>
      </c>
      <c r="D84" s="161" t="s">
        <v>147</v>
      </c>
      <c r="E84" s="162">
        <v>1</v>
      </c>
      <c r="F84" s="163" t="s">
        <v>163</v>
      </c>
      <c r="G84" s="164">
        <f>1119.23+235.04</f>
        <v>1354.27</v>
      </c>
      <c r="H84" s="164"/>
      <c r="I84" s="164"/>
      <c r="J84" s="164"/>
      <c r="K84" s="164">
        <v>0</v>
      </c>
      <c r="L84" s="164"/>
      <c r="M84" s="166">
        <f>G84</f>
        <v>1354.27</v>
      </c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67"/>
      <c r="AU84" s="167"/>
      <c r="AV84" s="167"/>
      <c r="AW84" s="167"/>
      <c r="AX84" s="167"/>
      <c r="AY84" s="167"/>
      <c r="AZ84" s="167"/>
      <c r="BA84" s="167"/>
      <c r="BB84" s="167"/>
    </row>
    <row r="85" spans="1:54">
      <c r="A85" s="103">
        <v>45945</v>
      </c>
      <c r="B85" s="104" t="s">
        <v>41</v>
      </c>
      <c r="C85" s="105" t="s">
        <v>88</v>
      </c>
      <c r="D85" s="104" t="s">
        <v>89</v>
      </c>
      <c r="E85" s="105"/>
      <c r="F85" s="106" t="s">
        <v>156</v>
      </c>
      <c r="G85" s="107">
        <v>650000</v>
      </c>
      <c r="H85" s="107"/>
      <c r="I85" s="107"/>
      <c r="J85" s="107"/>
      <c r="K85" s="107">
        <v>400000</v>
      </c>
      <c r="L85" s="108">
        <v>250000</v>
      </c>
    </row>
    <row r="86" spans="1:54" ht="15" thickBot="1">
      <c r="A86" s="109">
        <v>45945</v>
      </c>
      <c r="B86" s="110" t="s">
        <v>41</v>
      </c>
      <c r="C86" s="111" t="s">
        <v>88</v>
      </c>
      <c r="D86" s="110" t="s">
        <v>91</v>
      </c>
      <c r="E86" s="111"/>
      <c r="F86" s="112" t="s">
        <v>157</v>
      </c>
      <c r="G86" s="113">
        <v>650000</v>
      </c>
      <c r="H86" s="113"/>
      <c r="I86" s="113"/>
      <c r="J86" s="113"/>
      <c r="K86" s="113">
        <v>350000</v>
      </c>
      <c r="L86" s="114">
        <v>300000</v>
      </c>
    </row>
    <row r="87" spans="1:54" s="165" customFormat="1">
      <c r="A87" s="161">
        <v>45947</v>
      </c>
      <c r="B87" s="161" t="s">
        <v>41</v>
      </c>
      <c r="C87" s="162" t="s">
        <v>147</v>
      </c>
      <c r="D87" s="161" t="s">
        <v>147</v>
      </c>
      <c r="E87" s="162">
        <v>1</v>
      </c>
      <c r="F87" s="163" t="s">
        <v>164</v>
      </c>
      <c r="G87" s="164">
        <f>31291.02+4829.1+7585.22+6600</f>
        <v>50305.340000000004</v>
      </c>
      <c r="H87" s="164"/>
      <c r="I87" s="164"/>
      <c r="J87" s="164"/>
      <c r="K87" s="164">
        <v>0</v>
      </c>
      <c r="L87" s="164"/>
      <c r="M87" s="166">
        <f>G87</f>
        <v>50305.340000000004</v>
      </c>
      <c r="N87" s="184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7"/>
      <c r="AU87" s="167"/>
      <c r="AV87" s="167"/>
      <c r="AW87" s="167"/>
      <c r="AX87" s="167"/>
      <c r="AY87" s="167"/>
      <c r="AZ87" s="167"/>
      <c r="BA87" s="167"/>
      <c r="BB87" s="167"/>
    </row>
    <row r="88" spans="1:54">
      <c r="A88" s="30">
        <v>45951</v>
      </c>
      <c r="B88" s="31" t="s">
        <v>41</v>
      </c>
      <c r="C88" s="31" t="s">
        <v>58</v>
      </c>
      <c r="D88" s="31" t="s">
        <v>59</v>
      </c>
      <c r="E88" s="31"/>
      <c r="F88" s="32" t="s">
        <v>165</v>
      </c>
      <c r="G88" s="33">
        <v>16000</v>
      </c>
      <c r="H88" s="33"/>
      <c r="I88" s="33"/>
      <c r="J88" s="33"/>
      <c r="K88" s="33"/>
      <c r="L88" s="33">
        <f>G88</f>
        <v>16000</v>
      </c>
    </row>
    <row r="89" spans="1:54" s="165" customFormat="1">
      <c r="A89" s="161">
        <v>45954</v>
      </c>
      <c r="B89" s="161" t="s">
        <v>41</v>
      </c>
      <c r="C89" s="162" t="s">
        <v>147</v>
      </c>
      <c r="D89" s="161" t="s">
        <v>147</v>
      </c>
      <c r="E89" s="162">
        <v>1</v>
      </c>
      <c r="F89" s="163" t="s">
        <v>166</v>
      </c>
      <c r="G89" s="164">
        <f>54138.37+33500+17314.66+26000-5187.61</f>
        <v>125765.42</v>
      </c>
      <c r="H89" s="164"/>
      <c r="I89" s="164"/>
      <c r="J89" s="164"/>
      <c r="K89" s="164">
        <v>0</v>
      </c>
      <c r="L89" s="164"/>
      <c r="M89" s="166">
        <f>G89</f>
        <v>125765.42</v>
      </c>
      <c r="N89" s="184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</row>
    <row r="90" spans="1:54">
      <c r="A90" s="35">
        <v>45958</v>
      </c>
      <c r="B90" s="152" t="s">
        <v>41</v>
      </c>
      <c r="C90" s="152" t="s">
        <v>30</v>
      </c>
      <c r="D90" s="153" t="s">
        <v>33</v>
      </c>
      <c r="E90" s="152">
        <v>400</v>
      </c>
      <c r="F90" s="154" t="s">
        <v>34</v>
      </c>
      <c r="G90" s="158">
        <v>62400</v>
      </c>
      <c r="H90" s="156"/>
      <c r="I90" s="39"/>
      <c r="J90" s="39"/>
      <c r="K90" s="33"/>
      <c r="L90" s="33"/>
    </row>
    <row r="91" spans="1:54">
      <c r="A91" s="35">
        <v>45958</v>
      </c>
      <c r="B91" s="48" t="s">
        <v>41</v>
      </c>
      <c r="C91" s="151" t="s">
        <v>31</v>
      </c>
      <c r="D91" s="47" t="s">
        <v>33</v>
      </c>
      <c r="E91" s="48">
        <v>400</v>
      </c>
      <c r="F91" s="155" t="s">
        <v>115</v>
      </c>
      <c r="G91" s="159">
        <v>143200</v>
      </c>
      <c r="H91" s="157"/>
      <c r="I91" s="51"/>
      <c r="J91" s="51"/>
      <c r="K91" s="33"/>
      <c r="L91" s="33"/>
    </row>
    <row r="92" spans="1:54">
      <c r="A92" s="35">
        <v>45958</v>
      </c>
      <c r="B92" s="48" t="s">
        <v>41</v>
      </c>
      <c r="C92" s="151" t="s">
        <v>31</v>
      </c>
      <c r="D92" s="47" t="s">
        <v>33</v>
      </c>
      <c r="E92" s="48">
        <v>200</v>
      </c>
      <c r="F92" s="155" t="s">
        <v>169</v>
      </c>
      <c r="G92" s="159">
        <v>71100</v>
      </c>
      <c r="H92" s="157"/>
      <c r="I92" s="51"/>
      <c r="J92" s="51"/>
      <c r="K92" s="33">
        <f>G90+G91+G92</f>
        <v>276700</v>
      </c>
      <c r="L92" s="33"/>
    </row>
    <row r="93" spans="1:54">
      <c r="A93" s="30">
        <v>46004</v>
      </c>
      <c r="B93" s="42" t="s">
        <v>41</v>
      </c>
      <c r="C93" s="31" t="s">
        <v>38</v>
      </c>
      <c r="D93" s="30" t="s">
        <v>132</v>
      </c>
      <c r="E93" s="31">
        <v>5</v>
      </c>
      <c r="F93" s="32" t="s">
        <v>133</v>
      </c>
      <c r="G93" s="33">
        <f>10000*5</f>
        <v>50000</v>
      </c>
      <c r="H93" s="34"/>
      <c r="I93" s="34"/>
      <c r="J93" s="34"/>
      <c r="K93" s="33">
        <v>0</v>
      </c>
      <c r="L93" s="33">
        <f>G93</f>
        <v>50000</v>
      </c>
    </row>
    <row r="94" spans="1:54">
      <c r="A94" s="35"/>
      <c r="B94" s="152"/>
      <c r="C94" s="152"/>
      <c r="D94" s="153"/>
      <c r="E94" s="152"/>
      <c r="F94" s="154"/>
      <c r="G94" s="158"/>
      <c r="H94" s="156"/>
      <c r="I94" s="39"/>
      <c r="J94" s="39"/>
      <c r="K94" s="33"/>
      <c r="L94" s="33"/>
    </row>
    <row r="95" spans="1:54">
      <c r="A95" s="150"/>
      <c r="B95" s="48"/>
      <c r="C95" s="151"/>
      <c r="D95" s="47"/>
      <c r="E95" s="48"/>
      <c r="F95" s="155"/>
      <c r="G95" s="159"/>
      <c r="H95" s="157"/>
      <c r="I95" s="51"/>
      <c r="J95" s="51"/>
      <c r="K95" s="33"/>
      <c r="L95" s="33"/>
      <c r="M95" s="131">
        <f>203823-G89+5187.61</f>
        <v>83245.19</v>
      </c>
    </row>
    <row r="96" spans="1:54">
      <c r="A96" s="47"/>
      <c r="B96" s="48"/>
      <c r="C96" s="48"/>
      <c r="D96" s="47"/>
      <c r="E96" s="48"/>
      <c r="F96" s="155"/>
      <c r="G96" s="160"/>
      <c r="H96" s="156"/>
      <c r="I96" s="39"/>
      <c r="J96" s="39"/>
      <c r="K96" s="50"/>
      <c r="L96" s="50"/>
    </row>
    <row r="97" spans="1:12">
      <c r="A97" s="30"/>
      <c r="B97" s="31"/>
      <c r="C97" s="31"/>
      <c r="D97" s="30"/>
      <c r="E97" s="31"/>
      <c r="F97" s="32"/>
      <c r="G97" s="45"/>
      <c r="H97" s="51"/>
      <c r="I97" s="51"/>
      <c r="J97" s="51"/>
      <c r="K97" s="33"/>
      <c r="L97" s="33"/>
    </row>
    <row r="98" spans="1:12">
      <c r="A98" s="30"/>
      <c r="B98" s="30"/>
      <c r="C98" s="31"/>
      <c r="D98" s="30"/>
      <c r="E98" s="31"/>
      <c r="F98" s="32"/>
      <c r="G98" s="33"/>
      <c r="H98" s="34"/>
      <c r="I98" s="34"/>
      <c r="J98" s="34"/>
      <c r="K98" s="33"/>
      <c r="L98" s="33"/>
    </row>
    <row r="99" spans="1:12">
      <c r="A99" s="30"/>
      <c r="B99" s="31"/>
      <c r="C99" s="31"/>
      <c r="D99" s="31"/>
      <c r="E99" s="31"/>
      <c r="F99" s="32"/>
      <c r="G99" s="33"/>
      <c r="H99" s="33"/>
      <c r="I99" s="33"/>
      <c r="J99" s="33"/>
      <c r="K99" s="33"/>
      <c r="L99" s="33"/>
    </row>
    <row r="100" spans="1:12">
      <c r="A100" s="47"/>
      <c r="B100" s="48"/>
      <c r="C100" s="31"/>
      <c r="D100" s="30"/>
      <c r="E100" s="31"/>
      <c r="F100" s="32"/>
      <c r="G100" s="50"/>
      <c r="H100" s="39"/>
      <c r="I100" s="39"/>
      <c r="J100" s="39"/>
      <c r="K100" s="50"/>
      <c r="L100" s="50"/>
    </row>
    <row r="101" spans="1:12">
      <c r="A101" s="35"/>
      <c r="B101" s="37"/>
      <c r="C101" s="48"/>
      <c r="D101" s="47"/>
      <c r="E101" s="48"/>
      <c r="F101" s="49"/>
      <c r="G101" s="52"/>
      <c r="H101" s="39"/>
      <c r="I101" s="39"/>
      <c r="J101" s="39"/>
      <c r="K101" s="52"/>
      <c r="L101" s="52"/>
    </row>
    <row r="102" spans="1:12" s="149" customFormat="1">
      <c r="A102" s="145"/>
      <c r="B102" s="48"/>
      <c r="C102" s="48"/>
      <c r="D102" s="145"/>
      <c r="E102" s="48"/>
      <c r="F102" s="146"/>
      <c r="G102" s="50"/>
      <c r="H102" s="148"/>
      <c r="I102" s="148"/>
      <c r="J102" s="148"/>
      <c r="K102" s="147"/>
      <c r="L102" s="50"/>
    </row>
    <row r="103" spans="1:12">
      <c r="A103" s="47"/>
      <c r="B103" s="42"/>
      <c r="C103" s="48"/>
      <c r="D103" s="47"/>
      <c r="E103" s="48"/>
      <c r="F103" s="49"/>
      <c r="G103" s="45"/>
      <c r="H103" s="51"/>
      <c r="I103" s="51"/>
      <c r="J103" s="51"/>
      <c r="K103" s="45"/>
      <c r="L103" s="45"/>
    </row>
    <row r="104" spans="1:12">
      <c r="A104" s="30"/>
      <c r="B104" s="42"/>
      <c r="C104" s="31"/>
      <c r="D104" s="30"/>
      <c r="E104" s="31"/>
      <c r="F104" s="32"/>
      <c r="G104" s="33"/>
      <c r="H104" s="34"/>
      <c r="I104" s="34"/>
      <c r="J104" s="34"/>
      <c r="K104" s="33"/>
      <c r="L104" s="33"/>
    </row>
    <row r="105" spans="1:12">
      <c r="A105" s="30"/>
      <c r="B105" s="42"/>
      <c r="C105" s="31"/>
      <c r="D105" s="30"/>
      <c r="E105" s="31"/>
      <c r="F105" s="32"/>
      <c r="G105" s="33"/>
      <c r="H105" s="34"/>
      <c r="I105" s="34"/>
      <c r="J105" s="34"/>
      <c r="K105" s="33"/>
      <c r="L105" s="33"/>
    </row>
    <row r="106" spans="1:12">
      <c r="A106" s="47"/>
      <c r="B106" s="48"/>
      <c r="C106" s="48"/>
      <c r="D106" s="47"/>
      <c r="E106" s="48"/>
      <c r="F106" s="49"/>
      <c r="G106" s="50"/>
      <c r="H106" s="39"/>
      <c r="I106" s="39"/>
      <c r="J106" s="39"/>
      <c r="K106" s="50"/>
      <c r="L106" s="50"/>
    </row>
    <row r="107" spans="1:12">
      <c r="A107" s="47"/>
      <c r="B107" s="48"/>
      <c r="C107" s="48"/>
      <c r="D107" s="47"/>
      <c r="E107" s="48"/>
      <c r="F107" s="49"/>
      <c r="G107" s="50"/>
      <c r="H107" s="39"/>
      <c r="I107" s="39"/>
      <c r="J107" s="39"/>
      <c r="K107" s="50"/>
      <c r="L107" s="50"/>
    </row>
    <row r="108" spans="1:12">
      <c r="A108" s="47"/>
      <c r="B108" s="48"/>
      <c r="C108" s="31"/>
      <c r="D108" s="30"/>
      <c r="E108" s="31"/>
      <c r="F108" s="32"/>
      <c r="G108" s="50"/>
      <c r="H108" s="39"/>
      <c r="I108" s="39"/>
      <c r="J108" s="39"/>
      <c r="K108" s="50"/>
      <c r="L108" s="50"/>
    </row>
    <row r="109" spans="1:12">
      <c r="A109" s="30"/>
      <c r="B109" s="42"/>
      <c r="C109" s="31"/>
      <c r="D109" s="30"/>
      <c r="E109" s="31"/>
      <c r="F109" s="32"/>
      <c r="G109" s="33"/>
      <c r="H109" s="34"/>
      <c r="I109" s="34"/>
      <c r="J109" s="34"/>
      <c r="K109" s="33"/>
      <c r="L109" s="33"/>
    </row>
    <row r="110" spans="1:12">
      <c r="A110" s="40"/>
      <c r="B110" s="31"/>
      <c r="C110" s="42"/>
      <c r="D110" s="40"/>
      <c r="E110" s="42"/>
      <c r="F110" s="43"/>
      <c r="G110" s="33"/>
      <c r="H110" s="44"/>
      <c r="I110" s="44"/>
      <c r="J110" s="44"/>
      <c r="K110" s="33"/>
      <c r="L110" s="50"/>
    </row>
    <row r="111" spans="1:12">
      <c r="A111" s="30"/>
      <c r="B111" s="30"/>
      <c r="C111" s="31"/>
      <c r="D111" s="30"/>
      <c r="E111" s="31"/>
      <c r="F111" s="32"/>
      <c r="G111" s="33"/>
      <c r="H111" s="34"/>
      <c r="I111" s="34"/>
      <c r="J111" s="34"/>
      <c r="K111" s="33"/>
      <c r="L111" s="33"/>
    </row>
    <row r="112" spans="1:12">
      <c r="A112" s="30"/>
      <c r="B112" s="46"/>
      <c r="C112" s="31"/>
      <c r="D112" s="30"/>
      <c r="E112" s="31"/>
      <c r="F112" s="32"/>
      <c r="G112" s="33"/>
      <c r="H112" s="34"/>
      <c r="I112" s="34"/>
      <c r="J112" s="34"/>
      <c r="K112" s="33"/>
      <c r="L112" s="33"/>
    </row>
    <row r="113" spans="1:54">
      <c r="A113" s="35"/>
      <c r="B113" s="37"/>
      <c r="C113" s="48"/>
      <c r="D113" s="47"/>
      <c r="E113" s="48"/>
      <c r="F113" s="49"/>
      <c r="G113" s="52"/>
      <c r="H113" s="39"/>
      <c r="I113" s="39"/>
      <c r="J113" s="39"/>
      <c r="K113" s="52"/>
      <c r="L113" s="52"/>
    </row>
    <row r="114" spans="1:54" s="149" customFormat="1">
      <c r="A114" s="145"/>
      <c r="B114" s="48"/>
      <c r="C114" s="48"/>
      <c r="D114" s="145"/>
      <c r="E114" s="48"/>
      <c r="F114" s="146"/>
      <c r="G114" s="50"/>
      <c r="H114" s="148"/>
      <c r="I114" s="148"/>
      <c r="J114" s="148"/>
      <c r="K114" s="147"/>
      <c r="L114" s="50"/>
    </row>
    <row r="115" spans="1:54">
      <c r="A115" s="47"/>
      <c r="B115" s="48"/>
      <c r="C115" s="48"/>
      <c r="D115" s="47"/>
      <c r="E115" s="48"/>
      <c r="F115" s="49"/>
      <c r="G115" s="50"/>
      <c r="H115" s="39"/>
      <c r="I115" s="39"/>
      <c r="J115" s="39"/>
      <c r="K115" s="50"/>
      <c r="L115" s="50"/>
    </row>
    <row r="116" spans="1:54" s="165" customFormat="1">
      <c r="A116" s="161"/>
      <c r="B116" s="161"/>
      <c r="C116" s="162"/>
      <c r="D116" s="161"/>
      <c r="E116" s="162"/>
      <c r="F116" s="163"/>
      <c r="G116" s="164"/>
      <c r="H116" s="164"/>
      <c r="I116" s="164"/>
      <c r="J116" s="164"/>
      <c r="K116" s="164"/>
      <c r="L116" s="164"/>
      <c r="M116" s="166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</row>
    <row r="117" spans="1:54">
      <c r="A117" s="30"/>
      <c r="B117" s="31"/>
      <c r="C117" s="31"/>
      <c r="D117" s="31"/>
      <c r="E117" s="31"/>
      <c r="F117" s="32"/>
      <c r="G117" s="33"/>
      <c r="H117" s="33"/>
      <c r="I117" s="33"/>
      <c r="J117" s="33"/>
      <c r="K117" s="33"/>
      <c r="L117" s="33"/>
    </row>
    <row r="118" spans="1:54">
      <c r="A118" s="66"/>
      <c r="B118" s="66"/>
      <c r="C118" s="67"/>
      <c r="D118" s="66"/>
      <c r="E118" s="67"/>
      <c r="F118" s="68"/>
      <c r="G118" s="34"/>
      <c r="H118" s="34"/>
      <c r="I118" s="34"/>
      <c r="J118" s="34"/>
      <c r="K118" s="34"/>
      <c r="L118" s="34"/>
    </row>
    <row r="119" spans="1:54">
      <c r="A119" s="47"/>
      <c r="B119" s="48"/>
      <c r="C119" s="31"/>
      <c r="D119" s="30"/>
      <c r="E119" s="31"/>
      <c r="F119" s="32"/>
      <c r="G119" s="50"/>
      <c r="H119" s="39"/>
      <c r="I119" s="39"/>
      <c r="J119" s="39"/>
      <c r="K119" s="50"/>
      <c r="L119" s="50"/>
    </row>
    <row r="120" spans="1:54">
      <c r="A120" s="35"/>
      <c r="B120" s="37"/>
      <c r="C120" s="48"/>
      <c r="D120" s="47"/>
      <c r="E120" s="48"/>
      <c r="F120" s="49"/>
      <c r="G120" s="52"/>
      <c r="H120" s="39"/>
      <c r="I120" s="39"/>
      <c r="J120" s="39"/>
      <c r="K120" s="52"/>
      <c r="L120" s="52"/>
    </row>
    <row r="121" spans="1:54" s="149" customFormat="1">
      <c r="A121" s="145"/>
      <c r="B121" s="48"/>
      <c r="C121" s="48"/>
      <c r="D121" s="145"/>
      <c r="E121" s="48"/>
      <c r="F121" s="146"/>
      <c r="G121" s="50"/>
      <c r="H121" s="148"/>
      <c r="I121" s="148"/>
      <c r="J121" s="148"/>
      <c r="K121" s="147"/>
      <c r="L121" s="50"/>
    </row>
    <row r="122" spans="1:54">
      <c r="A122" s="40"/>
      <c r="B122" s="31"/>
      <c r="C122" s="40"/>
      <c r="D122" s="40"/>
      <c r="E122" s="42"/>
      <c r="F122" s="43"/>
      <c r="G122" s="33"/>
      <c r="H122" s="44"/>
      <c r="I122" s="44"/>
      <c r="J122" s="44"/>
      <c r="K122" s="33"/>
      <c r="L122" s="40"/>
    </row>
    <row r="123" spans="1:54" s="165" customFormat="1" ht="15" thickBot="1">
      <c r="A123" s="161"/>
      <c r="B123" s="161"/>
      <c r="C123" s="162"/>
      <c r="D123" s="161"/>
      <c r="E123" s="162"/>
      <c r="F123" s="163"/>
      <c r="G123" s="164"/>
      <c r="H123" s="164"/>
      <c r="I123" s="164"/>
      <c r="J123" s="164"/>
      <c r="K123" s="164"/>
      <c r="L123" s="164"/>
      <c r="M123" s="166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  <c r="AP123" s="167"/>
      <c r="AQ123" s="167"/>
      <c r="AR123" s="167"/>
      <c r="AS123" s="167"/>
      <c r="AT123" s="167"/>
      <c r="AU123" s="167"/>
      <c r="AV123" s="167"/>
      <c r="AW123" s="167"/>
      <c r="AX123" s="167"/>
      <c r="AY123" s="167"/>
      <c r="AZ123" s="167"/>
      <c r="BA123" s="167"/>
      <c r="BB123" s="167"/>
    </row>
    <row r="124" spans="1:54">
      <c r="A124" s="103"/>
      <c r="B124" s="104"/>
      <c r="C124" s="105"/>
      <c r="D124" s="104"/>
      <c r="E124" s="105"/>
      <c r="F124" s="106"/>
      <c r="G124" s="107"/>
      <c r="H124" s="107"/>
      <c r="I124" s="107"/>
      <c r="J124" s="107"/>
      <c r="K124" s="107"/>
      <c r="L124" s="108"/>
    </row>
    <row r="125" spans="1:54" ht="15" thickBot="1">
      <c r="A125" s="109"/>
      <c r="B125" s="110"/>
      <c r="C125" s="111"/>
      <c r="D125" s="110"/>
      <c r="E125" s="111"/>
      <c r="F125" s="112"/>
      <c r="G125" s="113"/>
      <c r="H125" s="113"/>
      <c r="I125" s="113"/>
      <c r="J125" s="113"/>
      <c r="K125" s="113"/>
      <c r="L125" s="114"/>
    </row>
    <row r="126" spans="1:54">
      <c r="A126" s="47"/>
      <c r="B126" s="48" t="s">
        <v>41</v>
      </c>
      <c r="C126" s="48"/>
      <c r="D126" s="47"/>
      <c r="E126" s="48"/>
      <c r="F126" s="49"/>
      <c r="G126" s="50"/>
      <c r="H126" s="34"/>
      <c r="I126" s="34"/>
      <c r="J126" s="34"/>
      <c r="K126" s="50"/>
      <c r="L126" s="50"/>
    </row>
    <row r="127" spans="1:54">
      <c r="A127" s="47"/>
      <c r="B127" s="48" t="s">
        <v>41</v>
      </c>
      <c r="C127" s="48"/>
      <c r="D127" s="47"/>
      <c r="E127" s="48"/>
      <c r="F127" s="49"/>
      <c r="G127" s="50"/>
      <c r="H127" s="39"/>
      <c r="I127" s="39"/>
      <c r="J127" s="39"/>
      <c r="K127" s="50"/>
      <c r="L127" s="50"/>
    </row>
    <row r="128" spans="1:54">
      <c r="A128" s="35"/>
      <c r="B128" s="37" t="s">
        <v>41</v>
      </c>
      <c r="C128" s="37"/>
      <c r="D128" s="35"/>
      <c r="E128" s="37"/>
      <c r="F128" s="38"/>
      <c r="G128" s="52"/>
      <c r="H128" s="34"/>
      <c r="I128" s="34"/>
      <c r="J128" s="34"/>
      <c r="K128" s="52"/>
      <c r="L128" s="52"/>
    </row>
    <row r="129" spans="1:12">
      <c r="A129" s="47"/>
      <c r="B129" s="48" t="s">
        <v>41</v>
      </c>
      <c r="C129" s="48"/>
      <c r="D129" s="47"/>
      <c r="E129" s="48"/>
      <c r="F129" s="49"/>
      <c r="G129" s="50"/>
      <c r="H129" s="34"/>
      <c r="I129" s="34"/>
      <c r="J129" s="34"/>
      <c r="K129" s="50"/>
      <c r="L129" s="50"/>
    </row>
    <row r="130" spans="1:12">
      <c r="A130" s="47"/>
      <c r="B130" s="48" t="s">
        <v>41</v>
      </c>
      <c r="C130" s="48"/>
      <c r="D130" s="47"/>
      <c r="E130" s="48"/>
      <c r="F130" s="49"/>
      <c r="G130" s="50"/>
      <c r="H130" s="39"/>
      <c r="I130" s="39"/>
      <c r="J130" s="39"/>
      <c r="K130" s="50"/>
      <c r="L130" s="50"/>
    </row>
    <row r="131" spans="1:12">
      <c r="A131" s="47"/>
      <c r="B131" s="48" t="s">
        <v>41</v>
      </c>
      <c r="C131" s="48"/>
      <c r="D131" s="47"/>
      <c r="E131" s="48"/>
      <c r="F131" s="49"/>
      <c r="G131" s="50"/>
      <c r="H131" s="39"/>
      <c r="I131" s="39"/>
      <c r="J131" s="39"/>
      <c r="K131" s="50"/>
      <c r="L131" s="50"/>
    </row>
    <row r="132" spans="1:12">
      <c r="A132" s="30"/>
      <c r="B132" s="31" t="s">
        <v>41</v>
      </c>
      <c r="C132" s="31"/>
      <c r="D132" s="31"/>
      <c r="E132" s="31"/>
      <c r="F132" s="32"/>
      <c r="G132" s="33"/>
      <c r="H132" s="33"/>
      <c r="I132" s="33"/>
      <c r="J132" s="33"/>
      <c r="K132" s="33"/>
      <c r="L132" s="33"/>
    </row>
    <row r="133" spans="1:12">
      <c r="A133" s="35"/>
      <c r="B133" s="31" t="s">
        <v>41</v>
      </c>
      <c r="C133" s="37"/>
      <c r="D133" s="35"/>
      <c r="E133" s="37"/>
      <c r="F133" s="38"/>
      <c r="G133" s="33"/>
      <c r="H133" s="39"/>
      <c r="I133" s="39"/>
      <c r="J133" s="39"/>
      <c r="K133" s="33"/>
      <c r="L133" s="33"/>
    </row>
    <row r="134" spans="1:12">
      <c r="A134" s="47"/>
      <c r="B134" s="31" t="s">
        <v>41</v>
      </c>
      <c r="C134" s="48"/>
      <c r="D134" s="47"/>
      <c r="E134" s="48"/>
      <c r="F134" s="49"/>
      <c r="G134" s="33"/>
      <c r="H134" s="51"/>
      <c r="I134" s="51"/>
      <c r="J134" s="51"/>
      <c r="K134" s="33"/>
      <c r="L134" s="33"/>
    </row>
    <row r="135" spans="1:12">
      <c r="A135" s="40"/>
      <c r="B135" s="31" t="s">
        <v>41</v>
      </c>
      <c r="C135" s="42"/>
      <c r="D135" s="40"/>
      <c r="E135" s="42"/>
      <c r="F135" s="43"/>
      <c r="G135" s="33"/>
      <c r="H135" s="44"/>
      <c r="I135" s="44"/>
      <c r="J135" s="44"/>
      <c r="K135" s="33"/>
      <c r="L135" s="33"/>
    </row>
    <row r="136" spans="1:12">
      <c r="A136" s="40"/>
      <c r="B136" s="31" t="s">
        <v>41</v>
      </c>
      <c r="C136" s="42"/>
      <c r="D136" s="40"/>
      <c r="E136" s="42"/>
      <c r="F136" s="43"/>
      <c r="G136" s="33"/>
      <c r="H136" s="44"/>
      <c r="I136" s="44"/>
      <c r="J136" s="44"/>
      <c r="K136" s="33"/>
      <c r="L136" s="33"/>
    </row>
    <row r="137" spans="1:12">
      <c r="A137" s="40"/>
      <c r="B137" s="31" t="s">
        <v>41</v>
      </c>
      <c r="C137" s="42"/>
      <c r="D137" s="40"/>
      <c r="E137" s="42"/>
      <c r="F137" s="43"/>
      <c r="G137" s="33"/>
      <c r="H137" s="44"/>
      <c r="I137" s="44"/>
      <c r="J137" s="44"/>
      <c r="K137" s="33"/>
      <c r="L137" s="40"/>
    </row>
    <row r="138" spans="1:12" ht="15" thickBot="1">
      <c r="A138" s="40"/>
      <c r="B138" s="31" t="s">
        <v>41</v>
      </c>
      <c r="C138" s="42"/>
      <c r="D138" s="40"/>
      <c r="E138" s="42"/>
      <c r="F138" s="43"/>
      <c r="G138" s="33"/>
      <c r="H138" s="44"/>
      <c r="I138" s="44"/>
      <c r="J138" s="44"/>
      <c r="K138" s="33"/>
      <c r="L138" s="40"/>
    </row>
    <row r="139" spans="1:12">
      <c r="A139" s="103"/>
      <c r="B139" s="104" t="s">
        <v>41</v>
      </c>
      <c r="C139" s="105"/>
      <c r="D139" s="104"/>
      <c r="E139" s="105"/>
      <c r="F139" s="106"/>
      <c r="G139" s="107"/>
      <c r="H139" s="107"/>
      <c r="I139" s="107"/>
      <c r="J139" s="107"/>
      <c r="K139" s="107"/>
      <c r="L139" s="108"/>
    </row>
    <row r="140" spans="1:12" ht="15" thickBot="1">
      <c r="A140" s="109"/>
      <c r="B140" s="110" t="s">
        <v>41</v>
      </c>
      <c r="C140" s="111"/>
      <c r="D140" s="110"/>
      <c r="E140" s="111"/>
      <c r="F140" s="112"/>
      <c r="G140" s="113"/>
      <c r="H140" s="113"/>
      <c r="I140" s="113"/>
      <c r="J140" s="113"/>
      <c r="K140" s="113"/>
      <c r="L140" s="114"/>
    </row>
    <row r="141" spans="1:12">
      <c r="A141" s="66"/>
      <c r="B141" s="66" t="s">
        <v>41</v>
      </c>
      <c r="C141" s="67"/>
      <c r="D141" s="66"/>
      <c r="E141" s="67"/>
      <c r="F141" s="68"/>
      <c r="G141" s="34"/>
      <c r="H141" s="34"/>
      <c r="I141" s="34"/>
      <c r="J141" s="34"/>
      <c r="K141" s="34"/>
      <c r="L141" s="34"/>
    </row>
    <row r="142" spans="1:12">
      <c r="A142" s="40"/>
      <c r="B142" s="31" t="s">
        <v>41</v>
      </c>
      <c r="C142" s="40"/>
      <c r="D142" s="40"/>
      <c r="E142" s="42"/>
      <c r="F142" s="43"/>
      <c r="G142" s="33"/>
      <c r="H142" s="44"/>
      <c r="I142" s="44"/>
      <c r="J142" s="44"/>
      <c r="K142" s="33"/>
      <c r="L142" s="40"/>
    </row>
    <row r="143" spans="1:12">
      <c r="A143" s="30"/>
      <c r="B143" s="31" t="s">
        <v>41</v>
      </c>
      <c r="C143" s="31"/>
      <c r="D143" s="31"/>
      <c r="E143" s="31"/>
      <c r="F143" s="32"/>
      <c r="G143" s="33"/>
      <c r="H143" s="33"/>
      <c r="I143" s="33"/>
      <c r="J143" s="33"/>
      <c r="K143" s="33"/>
      <c r="L143" s="33"/>
    </row>
    <row r="144" spans="1:12">
      <c r="A144" s="30"/>
      <c r="B144" s="30" t="s">
        <v>41</v>
      </c>
      <c r="C144" s="31"/>
      <c r="D144" s="30"/>
      <c r="E144" s="31"/>
      <c r="F144" s="32"/>
      <c r="G144" s="33"/>
      <c r="H144" s="34"/>
      <c r="I144" s="34"/>
      <c r="J144" s="34"/>
      <c r="K144" s="33"/>
      <c r="L144" s="33"/>
    </row>
    <row r="145" spans="1:12">
      <c r="A145" s="30"/>
      <c r="B145" s="31" t="s">
        <v>41</v>
      </c>
      <c r="C145" s="31"/>
      <c r="D145" s="31"/>
      <c r="E145" s="31"/>
      <c r="F145" s="32"/>
      <c r="G145" s="33"/>
      <c r="H145" s="33"/>
      <c r="I145" s="33"/>
      <c r="J145" s="33"/>
      <c r="K145" s="33"/>
      <c r="L145" s="33"/>
    </row>
    <row r="146" spans="1:12">
      <c r="A146" s="30"/>
      <c r="B146" s="46" t="s">
        <v>41</v>
      </c>
      <c r="C146" s="31"/>
      <c r="D146" s="30"/>
      <c r="E146" s="31"/>
      <c r="F146" s="32"/>
      <c r="G146" s="33"/>
      <c r="H146" s="34"/>
      <c r="I146" s="34"/>
      <c r="J146" s="34"/>
      <c r="K146" s="33"/>
      <c r="L146" s="33"/>
    </row>
    <row r="147" spans="1:12">
      <c r="A147" s="40"/>
      <c r="B147" s="31" t="s">
        <v>41</v>
      </c>
      <c r="C147" s="40"/>
      <c r="D147" s="40"/>
      <c r="E147" s="42"/>
      <c r="F147" s="43"/>
      <c r="G147" s="33"/>
      <c r="H147" s="44"/>
      <c r="I147" s="44"/>
      <c r="J147" s="44"/>
      <c r="K147" s="33"/>
      <c r="L147" s="40"/>
    </row>
    <row r="148" spans="1:12">
      <c r="A148" s="47"/>
      <c r="B148" s="48" t="s">
        <v>41</v>
      </c>
      <c r="C148" s="48"/>
      <c r="D148" s="47"/>
      <c r="E148" s="48"/>
      <c r="F148" s="49"/>
      <c r="G148" s="50"/>
      <c r="H148" s="39"/>
      <c r="I148" s="39"/>
      <c r="J148" s="39"/>
      <c r="K148" s="50"/>
      <c r="L148" s="50"/>
    </row>
    <row r="149" spans="1:12">
      <c r="A149" s="40"/>
      <c r="B149" s="31" t="s">
        <v>41</v>
      </c>
      <c r="C149" s="42"/>
      <c r="D149" s="40"/>
      <c r="E149" s="42"/>
      <c r="F149" s="43"/>
      <c r="G149" s="33"/>
      <c r="H149" s="44"/>
      <c r="I149" s="44"/>
      <c r="J149" s="44"/>
      <c r="K149" s="33"/>
      <c r="L149" s="40"/>
    </row>
    <row r="150" spans="1:12">
      <c r="A150" s="35"/>
      <c r="B150" s="31" t="s">
        <v>41</v>
      </c>
      <c r="C150" s="37"/>
      <c r="D150" s="35"/>
      <c r="E150" s="37"/>
      <c r="F150" s="38"/>
      <c r="G150" s="33"/>
      <c r="H150" s="39"/>
      <c r="I150" s="39"/>
      <c r="J150" s="39"/>
      <c r="K150" s="33"/>
      <c r="L150" s="33"/>
    </row>
    <row r="151" spans="1:12">
      <c r="A151" s="47"/>
      <c r="B151" s="31" t="s">
        <v>41</v>
      </c>
      <c r="C151" s="48"/>
      <c r="D151" s="47"/>
      <c r="E151" s="48"/>
      <c r="F151" s="49"/>
      <c r="G151" s="33"/>
      <c r="H151" s="51"/>
      <c r="I151" s="51"/>
      <c r="J151" s="51"/>
      <c r="K151" s="33"/>
      <c r="L151" s="33"/>
    </row>
    <row r="152" spans="1:12">
      <c r="A152" s="40"/>
      <c r="B152" s="128" t="s">
        <v>41</v>
      </c>
      <c r="C152" s="48"/>
      <c r="D152" s="48"/>
      <c r="E152" s="48"/>
      <c r="F152" s="130"/>
      <c r="G152" s="129"/>
      <c r="H152" s="44"/>
      <c r="I152" s="44"/>
      <c r="J152" s="44"/>
      <c r="K152" s="33"/>
      <c r="L152" s="33"/>
    </row>
    <row r="153" spans="1:12">
      <c r="A153" s="35"/>
      <c r="B153" s="31" t="s">
        <v>41</v>
      </c>
      <c r="C153" s="42"/>
      <c r="D153" s="40"/>
      <c r="E153" s="42"/>
      <c r="F153" s="43"/>
      <c r="G153" s="33"/>
      <c r="H153" s="39"/>
      <c r="I153" s="39"/>
      <c r="J153" s="39"/>
      <c r="K153" s="33"/>
      <c r="L153" s="33"/>
    </row>
    <row r="154" spans="1:12">
      <c r="A154" s="40"/>
      <c r="B154" s="31" t="s">
        <v>41</v>
      </c>
      <c r="C154" s="42"/>
      <c r="D154" s="40"/>
      <c r="E154" s="42"/>
      <c r="F154" s="43"/>
      <c r="G154" s="33"/>
      <c r="H154" s="44"/>
      <c r="I154" s="44"/>
      <c r="J154" s="44"/>
      <c r="K154" s="33"/>
      <c r="L154" s="33"/>
    </row>
    <row r="155" spans="1:12" ht="13.5" customHeight="1">
      <c r="A155" s="35"/>
      <c r="B155" s="31" t="s">
        <v>41</v>
      </c>
      <c r="C155" s="42"/>
      <c r="D155" s="40"/>
      <c r="E155" s="42"/>
      <c r="F155" s="43"/>
      <c r="G155" s="33"/>
      <c r="H155" s="39"/>
      <c r="I155" s="39"/>
      <c r="J155" s="39"/>
      <c r="K155" s="33"/>
      <c r="L155" s="33"/>
    </row>
    <row r="156" spans="1:12" ht="13.5" customHeight="1">
      <c r="A156" s="35"/>
      <c r="B156" s="31" t="s">
        <v>41</v>
      </c>
      <c r="C156" s="42"/>
      <c r="D156" s="40"/>
      <c r="E156" s="42"/>
      <c r="F156" s="43"/>
      <c r="G156" s="33"/>
      <c r="H156" s="39"/>
      <c r="I156" s="39"/>
      <c r="J156" s="39"/>
      <c r="K156" s="33"/>
      <c r="L156" s="33"/>
    </row>
    <row r="157" spans="1:12" ht="13.5" customHeight="1">
      <c r="A157" s="47"/>
      <c r="B157" s="48"/>
      <c r="C157" s="48"/>
      <c r="D157" s="47"/>
      <c r="E157" s="48"/>
      <c r="F157" s="49"/>
      <c r="G157" s="50"/>
      <c r="H157" s="39"/>
      <c r="I157" s="39"/>
      <c r="J157" s="39"/>
      <c r="K157" s="50"/>
      <c r="L157" s="50"/>
    </row>
    <row r="158" spans="1:12">
      <c r="A158" s="47"/>
      <c r="B158" s="48"/>
      <c r="C158" s="48"/>
      <c r="D158" s="47"/>
      <c r="E158" s="48"/>
      <c r="F158" s="49"/>
      <c r="G158" s="50"/>
      <c r="H158" s="39"/>
      <c r="I158" s="39"/>
      <c r="J158" s="39"/>
      <c r="K158" s="50"/>
      <c r="L158" s="50"/>
    </row>
    <row r="159" spans="1:12">
      <c r="A159" s="47"/>
      <c r="B159" s="48"/>
      <c r="C159" s="48"/>
      <c r="D159" s="47"/>
      <c r="E159" s="48"/>
      <c r="F159" s="49"/>
      <c r="G159" s="50"/>
      <c r="H159" s="39"/>
      <c r="I159" s="39"/>
      <c r="J159" s="39"/>
      <c r="K159" s="50"/>
      <c r="L159" s="45"/>
    </row>
    <row r="160" spans="1:12">
      <c r="A160" s="30"/>
      <c r="B160" s="30"/>
      <c r="C160" s="31"/>
      <c r="D160" s="30"/>
      <c r="E160" s="31"/>
      <c r="F160" s="32"/>
      <c r="G160" s="33"/>
      <c r="H160" s="34"/>
      <c r="I160" s="34"/>
      <c r="J160" s="34"/>
      <c r="K160" s="33"/>
      <c r="L160" s="33"/>
    </row>
    <row r="161" spans="1:12">
      <c r="A161" s="35">
        <v>45854</v>
      </c>
      <c r="B161" s="36" t="s">
        <v>29</v>
      </c>
      <c r="C161" s="37" t="s">
        <v>30</v>
      </c>
      <c r="D161" s="35"/>
      <c r="E161" s="37"/>
      <c r="F161" s="38"/>
      <c r="G161" s="33"/>
      <c r="H161" s="39"/>
      <c r="I161" s="39"/>
      <c r="J161" s="39"/>
      <c r="K161" s="33"/>
      <c r="L161" s="33"/>
    </row>
    <row r="162" spans="1:12">
      <c r="A162" s="47">
        <v>45906</v>
      </c>
      <c r="B162" s="48" t="s">
        <v>41</v>
      </c>
      <c r="C162" s="37" t="s">
        <v>32</v>
      </c>
      <c r="D162" s="35" t="s">
        <v>119</v>
      </c>
      <c r="E162" s="37">
        <v>1</v>
      </c>
      <c r="F162" s="38" t="s">
        <v>36</v>
      </c>
      <c r="G162" s="50">
        <v>41000</v>
      </c>
      <c r="H162" s="39"/>
      <c r="I162" s="39"/>
      <c r="J162" s="39"/>
      <c r="K162" s="50">
        <v>41000</v>
      </c>
      <c r="L162" s="50"/>
    </row>
    <row r="163" spans="1:12">
      <c r="A163" s="35">
        <v>45907</v>
      </c>
      <c r="B163" s="152" t="s">
        <v>41</v>
      </c>
      <c r="C163" s="152" t="s">
        <v>30</v>
      </c>
      <c r="D163" s="153" t="s">
        <v>33</v>
      </c>
      <c r="E163" s="152">
        <v>400</v>
      </c>
      <c r="F163" s="154" t="s">
        <v>34</v>
      </c>
      <c r="G163" s="158">
        <v>62400</v>
      </c>
      <c r="H163" s="156"/>
      <c r="I163" s="39"/>
      <c r="J163" s="39"/>
      <c r="K163" s="33"/>
      <c r="L163" s="33"/>
    </row>
    <row r="164" spans="1:12">
      <c r="A164" s="150">
        <v>45907</v>
      </c>
      <c r="B164" s="48" t="s">
        <v>41</v>
      </c>
      <c r="C164" s="151" t="s">
        <v>31</v>
      </c>
      <c r="D164" s="47" t="s">
        <v>33</v>
      </c>
      <c r="E164" s="48">
        <v>400</v>
      </c>
      <c r="F164" s="155" t="s">
        <v>115</v>
      </c>
      <c r="G164" s="159">
        <v>143200</v>
      </c>
      <c r="H164" s="157"/>
      <c r="I164" s="51"/>
      <c r="J164" s="51"/>
      <c r="K164" s="33"/>
      <c r="L164" s="33"/>
    </row>
    <row r="165" spans="1:12">
      <c r="A165" s="47">
        <v>45907</v>
      </c>
      <c r="B165" s="48" t="s">
        <v>41</v>
      </c>
      <c r="C165" s="48" t="s">
        <v>32</v>
      </c>
      <c r="D165" s="47" t="s">
        <v>33</v>
      </c>
      <c r="E165" s="48">
        <v>2</v>
      </c>
      <c r="F165" s="155" t="s">
        <v>48</v>
      </c>
      <c r="G165" s="160">
        <v>51000</v>
      </c>
      <c r="H165" s="156"/>
      <c r="I165" s="39"/>
      <c r="J165" s="39"/>
      <c r="K165" s="50">
        <f>SUM(G163:G165)</f>
        <v>256600</v>
      </c>
      <c r="L165" s="50"/>
    </row>
    <row r="166" spans="1:12">
      <c r="A166" s="30">
        <v>45910</v>
      </c>
      <c r="B166" s="31" t="s">
        <v>41</v>
      </c>
      <c r="C166" s="31" t="s">
        <v>127</v>
      </c>
      <c r="D166" s="30" t="s">
        <v>121</v>
      </c>
      <c r="E166" s="31">
        <v>1</v>
      </c>
      <c r="F166" s="32" t="s">
        <v>128</v>
      </c>
      <c r="G166" s="45">
        <f>12000+10000</f>
        <v>22000</v>
      </c>
      <c r="H166" s="51"/>
      <c r="I166" s="51"/>
      <c r="J166" s="51"/>
      <c r="K166" s="33">
        <f>G166</f>
        <v>22000</v>
      </c>
      <c r="L166" s="33"/>
    </row>
    <row r="167" spans="1:12">
      <c r="A167" s="30">
        <v>45911</v>
      </c>
      <c r="B167" s="30" t="s">
        <v>41</v>
      </c>
      <c r="C167" s="31" t="s">
        <v>46</v>
      </c>
      <c r="D167" s="30" t="s">
        <v>44</v>
      </c>
      <c r="E167" s="31">
        <v>1</v>
      </c>
      <c r="F167" s="32" t="s">
        <v>129</v>
      </c>
      <c r="G167" s="33">
        <v>14384</v>
      </c>
      <c r="H167" s="34"/>
      <c r="I167" s="34"/>
      <c r="J167" s="34"/>
      <c r="K167" s="33"/>
      <c r="L167" s="33">
        <f>G167</f>
        <v>14384</v>
      </c>
    </row>
    <row r="168" spans="1:12">
      <c r="A168" s="30">
        <v>45911</v>
      </c>
      <c r="B168" s="31" t="s">
        <v>41</v>
      </c>
      <c r="C168" s="31" t="s">
        <v>46</v>
      </c>
      <c r="D168" s="31" t="s">
        <v>56</v>
      </c>
      <c r="E168" s="31">
        <v>1</v>
      </c>
      <c r="F168" s="32" t="s">
        <v>130</v>
      </c>
      <c r="G168" s="33">
        <v>11677.6</v>
      </c>
      <c r="H168" s="33"/>
      <c r="I168" s="33"/>
      <c r="J168" s="33"/>
      <c r="K168" s="33"/>
      <c r="L168" s="33">
        <f>G168</f>
        <v>11677.6</v>
      </c>
    </row>
    <row r="169" spans="1:12">
      <c r="A169" s="47">
        <v>45912</v>
      </c>
      <c r="B169" s="48" t="s">
        <v>41</v>
      </c>
      <c r="C169" s="31" t="s">
        <v>32</v>
      </c>
      <c r="D169" s="30" t="s">
        <v>47</v>
      </c>
      <c r="E169" s="31">
        <v>2</v>
      </c>
      <c r="F169" s="32" t="s">
        <v>48</v>
      </c>
      <c r="G169" s="50">
        <v>51000</v>
      </c>
      <c r="H169" s="39"/>
      <c r="I169" s="39"/>
      <c r="J169" s="39"/>
      <c r="K169" s="50">
        <f>SUM(G169)</f>
        <v>51000</v>
      </c>
      <c r="L169" s="50"/>
    </row>
    <row r="170" spans="1:12">
      <c r="A170" s="35">
        <v>45907</v>
      </c>
      <c r="B170" s="37" t="s">
        <v>41</v>
      </c>
      <c r="C170" s="48" t="s">
        <v>30</v>
      </c>
      <c r="D170" s="47" t="s">
        <v>33</v>
      </c>
      <c r="E170" s="48">
        <v>400</v>
      </c>
      <c r="F170" s="49" t="s">
        <v>34</v>
      </c>
      <c r="G170" s="52">
        <v>62400</v>
      </c>
      <c r="H170" s="39"/>
      <c r="I170" s="39"/>
      <c r="J170" s="39"/>
      <c r="K170" s="52"/>
      <c r="L170" s="52"/>
    </row>
    <row r="171" spans="1:12" s="149" customFormat="1">
      <c r="A171" s="145">
        <v>45907</v>
      </c>
      <c r="B171" s="48" t="s">
        <v>41</v>
      </c>
      <c r="C171" s="48" t="s">
        <v>31</v>
      </c>
      <c r="D171" s="145" t="s">
        <v>33</v>
      </c>
      <c r="E171" s="48">
        <v>400</v>
      </c>
      <c r="F171" s="146" t="s">
        <v>115</v>
      </c>
      <c r="G171" s="50">
        <v>143200</v>
      </c>
      <c r="H171" s="148"/>
      <c r="I171" s="148"/>
      <c r="J171" s="148"/>
      <c r="K171" s="147"/>
      <c r="L171" s="50"/>
    </row>
    <row r="172" spans="1:12">
      <c r="A172" s="47">
        <v>45907</v>
      </c>
      <c r="B172" s="42" t="s">
        <v>41</v>
      </c>
      <c r="C172" s="48" t="s">
        <v>31</v>
      </c>
      <c r="D172" s="47" t="s">
        <v>33</v>
      </c>
      <c r="E172" s="48">
        <v>400</v>
      </c>
      <c r="F172" s="49" t="s">
        <v>131</v>
      </c>
      <c r="G172" s="45">
        <v>143200</v>
      </c>
      <c r="H172" s="51"/>
      <c r="I172" s="51"/>
      <c r="J172" s="51"/>
      <c r="K172" s="45">
        <f>G170+G171+G172</f>
        <v>348800</v>
      </c>
      <c r="L172" s="45"/>
    </row>
    <row r="173" spans="1:12">
      <c r="A173" s="30">
        <v>45913</v>
      </c>
      <c r="B173" s="42" t="s">
        <v>41</v>
      </c>
      <c r="C173" s="31" t="s">
        <v>38</v>
      </c>
      <c r="D173" s="30" t="s">
        <v>132</v>
      </c>
      <c r="E173" s="31">
        <v>5</v>
      </c>
      <c r="F173" s="32" t="s">
        <v>133</v>
      </c>
      <c r="G173" s="33">
        <f>10000*5</f>
        <v>50000</v>
      </c>
      <c r="H173" s="34"/>
      <c r="I173" s="34"/>
      <c r="J173" s="34"/>
      <c r="K173" s="33">
        <v>0</v>
      </c>
      <c r="L173" s="33">
        <f>G173</f>
        <v>50000</v>
      </c>
    </row>
    <row r="174" spans="1:12">
      <c r="A174" s="30">
        <v>45915</v>
      </c>
      <c r="B174" s="42" t="s">
        <v>41</v>
      </c>
      <c r="C174" s="31" t="s">
        <v>135</v>
      </c>
      <c r="D174" s="30" t="s">
        <v>134</v>
      </c>
      <c r="E174" s="31">
        <v>1</v>
      </c>
      <c r="F174" s="32" t="s">
        <v>136</v>
      </c>
      <c r="G174" s="33">
        <v>12750</v>
      </c>
      <c r="H174" s="34"/>
      <c r="I174" s="34"/>
      <c r="J174" s="34"/>
      <c r="K174" s="33">
        <v>0</v>
      </c>
      <c r="L174" s="33">
        <f>G174</f>
        <v>12750</v>
      </c>
    </row>
    <row r="175" spans="1:12">
      <c r="A175" s="47">
        <v>45916</v>
      </c>
      <c r="B175" s="48" t="s">
        <v>41</v>
      </c>
      <c r="C175" s="48" t="s">
        <v>32</v>
      </c>
      <c r="D175" s="47" t="s">
        <v>119</v>
      </c>
      <c r="E175" s="48">
        <v>2</v>
      </c>
      <c r="F175" s="49" t="s">
        <v>137</v>
      </c>
      <c r="G175" s="50">
        <v>84523</v>
      </c>
      <c r="H175" s="39"/>
      <c r="I175" s="39"/>
      <c r="J175" s="39"/>
      <c r="K175" s="50">
        <f>G175</f>
        <v>84523</v>
      </c>
      <c r="L175" s="50"/>
    </row>
    <row r="176" spans="1:12">
      <c r="A176" s="47">
        <v>45916</v>
      </c>
      <c r="B176" s="48" t="s">
        <v>41</v>
      </c>
      <c r="C176" s="48" t="s">
        <v>32</v>
      </c>
      <c r="D176" s="47" t="s">
        <v>119</v>
      </c>
      <c r="E176" s="48">
        <v>4</v>
      </c>
      <c r="F176" s="49" t="s">
        <v>145</v>
      </c>
      <c r="G176" s="50">
        <v>169046</v>
      </c>
      <c r="H176" s="39"/>
      <c r="I176" s="39"/>
      <c r="J176" s="39"/>
      <c r="K176" s="50"/>
      <c r="L176" s="50">
        <f>G176</f>
        <v>169046</v>
      </c>
    </row>
    <row r="177" spans="1:54">
      <c r="A177" s="47">
        <v>45916</v>
      </c>
      <c r="B177" s="48" t="s">
        <v>41</v>
      </c>
      <c r="C177" s="31" t="s">
        <v>32</v>
      </c>
      <c r="D177" s="30" t="s">
        <v>47</v>
      </c>
      <c r="E177" s="31">
        <v>6</v>
      </c>
      <c r="F177" s="32" t="s">
        <v>138</v>
      </c>
      <c r="G177" s="50">
        <f>25000*6</f>
        <v>150000</v>
      </c>
      <c r="H177" s="39"/>
      <c r="I177" s="39"/>
      <c r="J177" s="39"/>
      <c r="K177" s="50">
        <f>SUM(G177)</f>
        <v>150000</v>
      </c>
      <c r="L177" s="50"/>
    </row>
    <row r="178" spans="1:54">
      <c r="A178" s="30">
        <v>45916</v>
      </c>
      <c r="B178" s="42" t="s">
        <v>41</v>
      </c>
      <c r="C178" s="31" t="s">
        <v>135</v>
      </c>
      <c r="D178" s="30" t="s">
        <v>139</v>
      </c>
      <c r="E178" s="31">
        <v>1</v>
      </c>
      <c r="F178" s="32" t="s">
        <v>140</v>
      </c>
      <c r="G178" s="33">
        <v>1500</v>
      </c>
      <c r="H178" s="34"/>
      <c r="I178" s="34"/>
      <c r="J178" s="34"/>
      <c r="K178" s="33">
        <f>G178</f>
        <v>1500</v>
      </c>
      <c r="L178" s="33"/>
    </row>
    <row r="179" spans="1:54">
      <c r="A179" s="40">
        <v>45917</v>
      </c>
      <c r="B179" s="31" t="s">
        <v>41</v>
      </c>
      <c r="C179" s="42" t="s">
        <v>65</v>
      </c>
      <c r="D179" s="40" t="s">
        <v>141</v>
      </c>
      <c r="E179" s="42">
        <v>600</v>
      </c>
      <c r="F179" s="43" t="s">
        <v>142</v>
      </c>
      <c r="G179" s="33">
        <v>13800</v>
      </c>
      <c r="H179" s="44"/>
      <c r="I179" s="44"/>
      <c r="J179" s="44"/>
      <c r="K179" s="33"/>
      <c r="L179" s="50">
        <v>13800</v>
      </c>
    </row>
    <row r="180" spans="1:54">
      <c r="A180" s="30">
        <v>45918</v>
      </c>
      <c r="B180" s="30" t="s">
        <v>41</v>
      </c>
      <c r="C180" s="31" t="s">
        <v>26</v>
      </c>
      <c r="D180" s="30" t="s">
        <v>42</v>
      </c>
      <c r="E180" s="31">
        <v>1</v>
      </c>
      <c r="F180" s="32" t="s">
        <v>143</v>
      </c>
      <c r="G180" s="33">
        <v>10000</v>
      </c>
      <c r="H180" s="34"/>
      <c r="I180" s="34"/>
      <c r="J180" s="34"/>
      <c r="K180" s="33"/>
      <c r="L180" s="33">
        <f>G180</f>
        <v>10000</v>
      </c>
    </row>
    <row r="181" spans="1:54">
      <c r="A181" s="30">
        <v>45918</v>
      </c>
      <c r="B181" s="46" t="s">
        <v>41</v>
      </c>
      <c r="C181" s="31" t="s">
        <v>38</v>
      </c>
      <c r="D181" s="30" t="s">
        <v>84</v>
      </c>
      <c r="E181" s="31">
        <v>10</v>
      </c>
      <c r="F181" s="32" t="s">
        <v>144</v>
      </c>
      <c r="G181" s="33">
        <f>8000*10</f>
        <v>80000</v>
      </c>
      <c r="H181" s="34"/>
      <c r="I181" s="34"/>
      <c r="J181" s="34"/>
      <c r="K181" s="33">
        <f>G181</f>
        <v>80000</v>
      </c>
      <c r="L181" s="33"/>
    </row>
    <row r="182" spans="1:54">
      <c r="A182" s="35">
        <v>45919</v>
      </c>
      <c r="B182" s="37" t="s">
        <v>41</v>
      </c>
      <c r="C182" s="48" t="s">
        <v>30</v>
      </c>
      <c r="D182" s="47" t="s">
        <v>33</v>
      </c>
      <c r="E182" s="48">
        <v>600</v>
      </c>
      <c r="F182" s="49" t="s">
        <v>34</v>
      </c>
      <c r="G182" s="52">
        <f>62400+31200</f>
        <v>93600</v>
      </c>
      <c r="H182" s="39"/>
      <c r="I182" s="39"/>
      <c r="J182" s="39"/>
      <c r="K182" s="52"/>
      <c r="L182" s="52"/>
    </row>
    <row r="183" spans="1:54" s="149" customFormat="1">
      <c r="A183" s="145">
        <v>45919</v>
      </c>
      <c r="B183" s="48" t="s">
        <v>41</v>
      </c>
      <c r="C183" s="48" t="s">
        <v>31</v>
      </c>
      <c r="D183" s="145" t="s">
        <v>33</v>
      </c>
      <c r="E183" s="48">
        <v>400</v>
      </c>
      <c r="F183" s="146" t="s">
        <v>115</v>
      </c>
      <c r="G183" s="50">
        <v>143200</v>
      </c>
      <c r="H183" s="148"/>
      <c r="I183" s="148"/>
      <c r="J183" s="148"/>
      <c r="K183" s="147"/>
      <c r="L183" s="50">
        <f>G182+G183</f>
        <v>236800</v>
      </c>
    </row>
    <row r="184" spans="1:54">
      <c r="A184" s="47">
        <v>45918</v>
      </c>
      <c r="B184" s="48" t="s">
        <v>41</v>
      </c>
      <c r="C184" s="48" t="s">
        <v>32</v>
      </c>
      <c r="D184" s="47" t="s">
        <v>119</v>
      </c>
      <c r="E184" s="48">
        <v>3</v>
      </c>
      <c r="F184" s="49" t="s">
        <v>146</v>
      </c>
      <c r="G184" s="50">
        <f>42261.5*3</f>
        <v>126784.5</v>
      </c>
      <c r="H184" s="39"/>
      <c r="I184" s="39"/>
      <c r="J184" s="39"/>
      <c r="K184" s="50">
        <f>G184</f>
        <v>126784.5</v>
      </c>
      <c r="L184" s="50">
        <v>0</v>
      </c>
    </row>
    <row r="185" spans="1:54" s="165" customFormat="1">
      <c r="A185" s="161">
        <v>45919</v>
      </c>
      <c r="B185" s="161" t="s">
        <v>41</v>
      </c>
      <c r="C185" s="162" t="s">
        <v>147</v>
      </c>
      <c r="D185" s="161" t="s">
        <v>147</v>
      </c>
      <c r="E185" s="162">
        <v>1</v>
      </c>
      <c r="F185" s="163" t="s">
        <v>148</v>
      </c>
      <c r="G185" s="164">
        <f>8925.94+415.87+2079.59</f>
        <v>11421.400000000001</v>
      </c>
      <c r="H185" s="164"/>
      <c r="I185" s="164"/>
      <c r="J185" s="164"/>
      <c r="K185" s="164">
        <v>0</v>
      </c>
      <c r="L185" s="164"/>
      <c r="M185" s="166">
        <f>G185</f>
        <v>11421.400000000001</v>
      </c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7"/>
      <c r="AK185" s="167"/>
      <c r="AL185" s="167"/>
      <c r="AM185" s="167"/>
      <c r="AN185" s="167"/>
      <c r="AO185" s="167"/>
      <c r="AP185" s="167"/>
      <c r="AQ185" s="167"/>
      <c r="AR185" s="167"/>
      <c r="AS185" s="167"/>
      <c r="AT185" s="167"/>
      <c r="AU185" s="167"/>
      <c r="AV185" s="167"/>
      <c r="AW185" s="167"/>
      <c r="AX185" s="167"/>
      <c r="AY185" s="167"/>
      <c r="AZ185" s="167"/>
      <c r="BA185" s="167"/>
      <c r="BB185" s="167"/>
    </row>
    <row r="186" spans="1:54">
      <c r="A186" s="30">
        <v>45922</v>
      </c>
      <c r="B186" s="31" t="s">
        <v>41</v>
      </c>
      <c r="C186" s="31" t="s">
        <v>58</v>
      </c>
      <c r="D186" s="31" t="s">
        <v>59</v>
      </c>
      <c r="E186" s="31"/>
      <c r="F186" s="32" t="s">
        <v>150</v>
      </c>
      <c r="G186" s="33">
        <v>16000</v>
      </c>
      <c r="H186" s="33"/>
      <c r="I186" s="33"/>
      <c r="J186" s="33"/>
      <c r="K186" s="33"/>
      <c r="L186" s="33">
        <f>G186</f>
        <v>16000</v>
      </c>
    </row>
    <row r="187" spans="1:54">
      <c r="A187" s="66">
        <v>45922</v>
      </c>
      <c r="B187" s="66" t="s">
        <v>41</v>
      </c>
      <c r="C187" s="67" t="s">
        <v>62</v>
      </c>
      <c r="D187" s="66" t="s">
        <v>105</v>
      </c>
      <c r="E187" s="67"/>
      <c r="F187" s="68" t="s">
        <v>64</v>
      </c>
      <c r="G187" s="34">
        <v>7000</v>
      </c>
      <c r="H187" s="34"/>
      <c r="I187" s="34"/>
      <c r="J187" s="34"/>
      <c r="K187" s="34">
        <v>7000</v>
      </c>
      <c r="L187" s="34"/>
    </row>
    <row r="188" spans="1:54">
      <c r="A188" s="47">
        <v>45924</v>
      </c>
      <c r="B188" s="48" t="s">
        <v>41</v>
      </c>
      <c r="C188" s="31" t="s">
        <v>32</v>
      </c>
      <c r="D188" s="30" t="s">
        <v>47</v>
      </c>
      <c r="E188" s="31">
        <v>4</v>
      </c>
      <c r="F188" s="32" t="s">
        <v>151</v>
      </c>
      <c r="G188" s="50">
        <f>25000*4</f>
        <v>100000</v>
      </c>
      <c r="H188" s="39"/>
      <c r="I188" s="39"/>
      <c r="J188" s="39"/>
      <c r="K188" s="50">
        <f>SUM(G188)</f>
        <v>100000</v>
      </c>
      <c r="L188" s="50"/>
    </row>
    <row r="189" spans="1:54">
      <c r="A189" s="35">
        <v>45926</v>
      </c>
      <c r="B189" s="37" t="s">
        <v>41</v>
      </c>
      <c r="C189" s="48" t="s">
        <v>30</v>
      </c>
      <c r="D189" s="47" t="s">
        <v>33</v>
      </c>
      <c r="E189" s="48">
        <v>1200</v>
      </c>
      <c r="F189" s="49" t="s">
        <v>152</v>
      </c>
      <c r="G189" s="52">
        <f>62400*3</f>
        <v>187200</v>
      </c>
      <c r="H189" s="39"/>
      <c r="I189" s="39"/>
      <c r="J189" s="39"/>
      <c r="K189" s="52"/>
      <c r="L189" s="52"/>
    </row>
    <row r="190" spans="1:54" s="149" customFormat="1">
      <c r="A190" s="145">
        <v>45926</v>
      </c>
      <c r="B190" s="48" t="s">
        <v>41</v>
      </c>
      <c r="C190" s="48" t="s">
        <v>31</v>
      </c>
      <c r="D190" s="145" t="s">
        <v>33</v>
      </c>
      <c r="E190" s="48">
        <v>2000</v>
      </c>
      <c r="F190" s="146" t="s">
        <v>153</v>
      </c>
      <c r="G190" s="50">
        <f>143200*5</f>
        <v>716000</v>
      </c>
      <c r="H190" s="148"/>
      <c r="I190" s="148"/>
      <c r="J190" s="148"/>
      <c r="K190" s="147">
        <f>G189+G190-25000-62400</f>
        <v>815800</v>
      </c>
      <c r="L190" s="50"/>
    </row>
    <row r="191" spans="1:54">
      <c r="A191" s="40">
        <v>45929</v>
      </c>
      <c r="B191" s="31" t="s">
        <v>41</v>
      </c>
      <c r="C191" s="40" t="s">
        <v>106</v>
      </c>
      <c r="D191" s="40" t="s">
        <v>106</v>
      </c>
      <c r="E191" s="42">
        <v>2</v>
      </c>
      <c r="F191" s="43" t="s">
        <v>154</v>
      </c>
      <c r="G191" s="33">
        <f>30000*2</f>
        <v>60000</v>
      </c>
      <c r="H191" s="44"/>
      <c r="I191" s="44"/>
      <c r="J191" s="44"/>
      <c r="K191" s="33">
        <f>G191</f>
        <v>60000</v>
      </c>
      <c r="L191" s="40"/>
    </row>
    <row r="192" spans="1:54" s="165" customFormat="1" ht="15" thickBot="1">
      <c r="A192" s="161">
        <v>45930</v>
      </c>
      <c r="B192" s="161" t="s">
        <v>41</v>
      </c>
      <c r="C192" s="162" t="s">
        <v>147</v>
      </c>
      <c r="D192" s="161" t="s">
        <v>147</v>
      </c>
      <c r="E192" s="162">
        <v>1</v>
      </c>
      <c r="F192" s="163" t="s">
        <v>155</v>
      </c>
      <c r="G192" s="164">
        <f>20677+4894.54+7415.75+15750</f>
        <v>48737.29</v>
      </c>
      <c r="H192" s="164"/>
      <c r="I192" s="164"/>
      <c r="J192" s="164"/>
      <c r="K192" s="164">
        <v>0</v>
      </c>
      <c r="L192" s="164"/>
      <c r="M192" s="166">
        <f>G192</f>
        <v>48737.29</v>
      </c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7"/>
      <c r="AJ192" s="167"/>
      <c r="AK192" s="167"/>
      <c r="AL192" s="167"/>
      <c r="AM192" s="167"/>
      <c r="AN192" s="167"/>
      <c r="AO192" s="167"/>
      <c r="AP192" s="167"/>
      <c r="AQ192" s="167"/>
      <c r="AR192" s="167"/>
      <c r="AS192" s="167"/>
      <c r="AT192" s="167"/>
      <c r="AU192" s="167"/>
      <c r="AV192" s="167"/>
      <c r="AW192" s="167"/>
      <c r="AX192" s="167"/>
      <c r="AY192" s="167"/>
      <c r="AZ192" s="167"/>
      <c r="BA192" s="167"/>
      <c r="BB192" s="167"/>
    </row>
    <row r="193" spans="1:12">
      <c r="A193" s="103">
        <v>45930</v>
      </c>
      <c r="B193" s="104" t="s">
        <v>41</v>
      </c>
      <c r="C193" s="105" t="s">
        <v>88</v>
      </c>
      <c r="D193" s="104" t="s">
        <v>89</v>
      </c>
      <c r="E193" s="105"/>
      <c r="F193" s="106" t="s">
        <v>156</v>
      </c>
      <c r="G193" s="107">
        <v>1300000</v>
      </c>
      <c r="H193" s="107"/>
      <c r="I193" s="107"/>
      <c r="J193" s="107"/>
      <c r="K193" s="107">
        <v>800000</v>
      </c>
      <c r="L193" s="108">
        <v>500000</v>
      </c>
    </row>
    <row r="194" spans="1:12" ht="15" thickBot="1">
      <c r="A194" s="109">
        <v>45930</v>
      </c>
      <c r="B194" s="110" t="s">
        <v>41</v>
      </c>
      <c r="C194" s="111" t="s">
        <v>88</v>
      </c>
      <c r="D194" s="110" t="s">
        <v>91</v>
      </c>
      <c r="E194" s="111"/>
      <c r="F194" s="112" t="s">
        <v>157</v>
      </c>
      <c r="G194" s="113">
        <v>1300000</v>
      </c>
      <c r="H194" s="113"/>
      <c r="I194" s="113"/>
      <c r="J194" s="113"/>
      <c r="K194" s="113">
        <v>400000</v>
      </c>
      <c r="L194" s="114">
        <v>900000</v>
      </c>
    </row>
    <row r="195" spans="1:12">
      <c r="A195" s="47">
        <v>45854</v>
      </c>
      <c r="B195" s="53" t="s">
        <v>29</v>
      </c>
      <c r="C195" s="48" t="s">
        <v>31</v>
      </c>
      <c r="D195" s="47"/>
      <c r="E195" s="48"/>
      <c r="F195" s="49"/>
      <c r="G195" s="33"/>
      <c r="H195" s="51"/>
      <c r="I195" s="51"/>
      <c r="J195" s="51"/>
      <c r="K195" s="33"/>
      <c r="L195" s="33"/>
    </row>
    <row r="196" spans="1:12">
      <c r="A196" s="40">
        <v>45854</v>
      </c>
      <c r="B196" s="41" t="s">
        <v>29</v>
      </c>
      <c r="C196" s="42" t="s">
        <v>32</v>
      </c>
      <c r="D196" s="40"/>
      <c r="E196" s="42"/>
      <c r="F196" s="43"/>
      <c r="G196" s="33"/>
      <c r="H196" s="44"/>
      <c r="I196" s="44"/>
      <c r="J196" s="44"/>
      <c r="K196" s="33"/>
      <c r="L196" s="33"/>
    </row>
    <row r="197" spans="1:12">
      <c r="A197" s="30">
        <v>45853</v>
      </c>
      <c r="B197" s="46" t="s">
        <v>29</v>
      </c>
      <c r="C197" s="31" t="s">
        <v>38</v>
      </c>
      <c r="D197" s="30"/>
      <c r="E197" s="31"/>
      <c r="F197" s="32"/>
      <c r="G197" s="33"/>
      <c r="H197" s="34"/>
      <c r="I197" s="34"/>
      <c r="J197" s="34"/>
      <c r="K197" s="33"/>
      <c r="L197" s="33"/>
    </row>
    <row r="198" spans="1:12">
      <c r="A198" s="30">
        <v>45855</v>
      </c>
      <c r="B198" s="30" t="s">
        <v>41</v>
      </c>
      <c r="C198" s="31" t="s">
        <v>26</v>
      </c>
      <c r="D198" s="30"/>
      <c r="E198" s="31"/>
      <c r="F198" s="32"/>
      <c r="G198" s="33"/>
      <c r="H198" s="34"/>
      <c r="I198" s="34"/>
      <c r="J198" s="34"/>
      <c r="K198" s="33"/>
      <c r="L198" s="33"/>
    </row>
    <row r="199" spans="1:12">
      <c r="A199" s="30">
        <v>45855</v>
      </c>
      <c r="B199" s="30" t="s">
        <v>41</v>
      </c>
      <c r="C199" s="31" t="s">
        <v>46</v>
      </c>
      <c r="D199" s="30"/>
      <c r="E199" s="31"/>
      <c r="F199" s="32"/>
      <c r="G199" s="33"/>
      <c r="H199" s="34"/>
      <c r="I199" s="34"/>
      <c r="J199" s="34"/>
      <c r="K199" s="33"/>
      <c r="L199" s="33"/>
    </row>
    <row r="200" spans="1:12">
      <c r="A200" s="30">
        <v>45856</v>
      </c>
      <c r="B200" s="30" t="s">
        <v>41</v>
      </c>
      <c r="C200" s="31" t="s">
        <v>32</v>
      </c>
      <c r="D200" s="30"/>
      <c r="E200" s="31"/>
      <c r="F200" s="32"/>
      <c r="G200" s="33"/>
      <c r="H200" s="34"/>
      <c r="I200" s="34"/>
      <c r="J200" s="34"/>
      <c r="K200" s="33"/>
      <c r="L200" s="33"/>
    </row>
    <row r="201" spans="1:12">
      <c r="A201" s="30">
        <v>45859</v>
      </c>
      <c r="B201" s="31" t="s">
        <v>41</v>
      </c>
      <c r="C201" s="31" t="s">
        <v>58</v>
      </c>
      <c r="D201" s="31"/>
      <c r="E201" s="31"/>
      <c r="F201" s="32"/>
      <c r="G201" s="33"/>
      <c r="H201" s="33"/>
      <c r="I201" s="33"/>
      <c r="J201" s="33"/>
      <c r="K201" s="33"/>
      <c r="L201" s="33"/>
    </row>
    <row r="202" spans="1:12">
      <c r="A202" s="30">
        <v>45859</v>
      </c>
      <c r="B202" s="31" t="s">
        <v>41</v>
      </c>
      <c r="C202" s="31" t="s">
        <v>46</v>
      </c>
      <c r="D202" s="31"/>
      <c r="E202" s="31"/>
      <c r="F202" s="32"/>
      <c r="G202" s="33"/>
      <c r="H202" s="33"/>
      <c r="I202" s="33"/>
      <c r="J202" s="33"/>
      <c r="K202" s="33"/>
      <c r="L202" s="33"/>
    </row>
    <row r="203" spans="1:12">
      <c r="A203" s="35">
        <v>45863</v>
      </c>
      <c r="B203" s="37" t="s">
        <v>41</v>
      </c>
      <c r="C203" s="37" t="s">
        <v>30</v>
      </c>
      <c r="D203" s="35"/>
      <c r="E203" s="37"/>
      <c r="F203" s="38"/>
      <c r="G203" s="52"/>
      <c r="H203" s="34"/>
      <c r="I203" s="34"/>
      <c r="J203" s="34"/>
      <c r="K203" s="52"/>
      <c r="L203" s="52"/>
    </row>
    <row r="204" spans="1:12">
      <c r="A204" s="47">
        <v>45863</v>
      </c>
      <c r="B204" s="48" t="s">
        <v>41</v>
      </c>
      <c r="C204" s="48" t="s">
        <v>31</v>
      </c>
      <c r="D204" s="47"/>
      <c r="E204" s="48"/>
      <c r="F204" s="49"/>
      <c r="G204" s="50"/>
      <c r="H204" s="34"/>
      <c r="I204" s="34"/>
      <c r="J204" s="34"/>
      <c r="K204" s="50"/>
      <c r="L204" s="50"/>
    </row>
    <row r="205" spans="1:12">
      <c r="A205" s="40">
        <v>45863</v>
      </c>
      <c r="B205" s="42" t="s">
        <v>41</v>
      </c>
      <c r="C205" s="42" t="s">
        <v>32</v>
      </c>
      <c r="D205" s="40"/>
      <c r="E205" s="42"/>
      <c r="F205" s="43"/>
      <c r="G205" s="45"/>
      <c r="H205" s="34"/>
      <c r="I205" s="34"/>
      <c r="J205" s="34"/>
      <c r="K205" s="45"/>
      <c r="L205" s="45"/>
    </row>
    <row r="206" spans="1:12">
      <c r="A206" s="30">
        <v>45860</v>
      </c>
      <c r="B206" s="30" t="s">
        <v>41</v>
      </c>
      <c r="C206" s="31" t="s">
        <v>32</v>
      </c>
      <c r="D206" s="30"/>
      <c r="E206" s="31"/>
      <c r="F206" s="32"/>
      <c r="G206" s="33"/>
      <c r="H206" s="34"/>
      <c r="I206" s="34"/>
      <c r="J206" s="34"/>
      <c r="K206" s="33"/>
      <c r="L206" s="33"/>
    </row>
    <row r="207" spans="1:12">
      <c r="A207" s="93">
        <v>45862</v>
      </c>
      <c r="B207" s="93" t="s">
        <v>41</v>
      </c>
      <c r="C207" s="94" t="s">
        <v>82</v>
      </c>
      <c r="D207" s="93"/>
      <c r="E207" s="94"/>
      <c r="F207" s="95"/>
      <c r="G207" s="96"/>
      <c r="H207" s="96"/>
      <c r="I207" s="96"/>
      <c r="J207" s="96"/>
      <c r="K207" s="96"/>
      <c r="L207" s="96"/>
    </row>
    <row r="208" spans="1:12">
      <c r="A208" s="30">
        <v>45863</v>
      </c>
      <c r="B208" s="46" t="s">
        <v>41</v>
      </c>
      <c r="C208" s="31" t="s">
        <v>38</v>
      </c>
      <c r="D208" s="30"/>
      <c r="E208" s="31"/>
      <c r="F208" s="32"/>
      <c r="G208" s="33"/>
      <c r="H208" s="34"/>
      <c r="I208" s="34"/>
      <c r="J208" s="34"/>
      <c r="K208" s="33"/>
      <c r="L208" s="33"/>
    </row>
    <row r="209" spans="1:12">
      <c r="A209" s="35">
        <v>45863</v>
      </c>
      <c r="B209" s="37" t="s">
        <v>41</v>
      </c>
      <c r="C209" s="37" t="s">
        <v>30</v>
      </c>
      <c r="D209" s="35"/>
      <c r="E209" s="37"/>
      <c r="F209" s="38"/>
      <c r="G209" s="52"/>
      <c r="H209" s="34"/>
      <c r="I209" s="34"/>
      <c r="J209" s="34"/>
      <c r="K209" s="52"/>
      <c r="L209" s="52"/>
    </row>
    <row r="210" spans="1:12">
      <c r="A210" s="47">
        <v>45863</v>
      </c>
      <c r="B210" s="48" t="s">
        <v>41</v>
      </c>
      <c r="C210" s="48" t="s">
        <v>31</v>
      </c>
      <c r="D210" s="47"/>
      <c r="E210" s="48"/>
      <c r="F210" s="49"/>
      <c r="G210" s="50"/>
      <c r="H210" s="34"/>
      <c r="I210" s="34"/>
      <c r="J210" s="34"/>
      <c r="K210" s="45"/>
      <c r="L210" s="45"/>
    </row>
    <row r="211" spans="1:12">
      <c r="A211" s="35">
        <v>45866</v>
      </c>
      <c r="B211" s="37" t="s">
        <v>41</v>
      </c>
      <c r="C211" s="37" t="s">
        <v>30</v>
      </c>
      <c r="D211" s="35"/>
      <c r="E211" s="37"/>
      <c r="F211" s="38"/>
      <c r="G211" s="52"/>
      <c r="H211" s="34"/>
      <c r="I211" s="34"/>
      <c r="J211" s="34"/>
      <c r="K211" s="52"/>
      <c r="L211" s="52"/>
    </row>
    <row r="212" spans="1:12" ht="15" thickBot="1">
      <c r="A212" s="47">
        <v>45866</v>
      </c>
      <c r="B212" s="48" t="s">
        <v>41</v>
      </c>
      <c r="C212" s="48" t="s">
        <v>32</v>
      </c>
      <c r="D212" s="47"/>
      <c r="E212" s="48"/>
      <c r="F212" s="49"/>
      <c r="G212" s="50"/>
      <c r="H212" s="39"/>
      <c r="I212" s="39"/>
      <c r="J212" s="39"/>
      <c r="K212" s="50"/>
      <c r="L212" s="50"/>
    </row>
    <row r="213" spans="1:12">
      <c r="A213" s="103">
        <v>45869</v>
      </c>
      <c r="B213" s="104" t="s">
        <v>41</v>
      </c>
      <c r="C213" s="105" t="s">
        <v>88</v>
      </c>
      <c r="D213" s="104"/>
      <c r="E213" s="105"/>
      <c r="F213" s="106"/>
      <c r="G213" s="107"/>
      <c r="H213" s="107"/>
      <c r="I213" s="107"/>
      <c r="J213" s="107"/>
      <c r="K213" s="107"/>
      <c r="L213" s="108"/>
    </row>
    <row r="214" spans="1:12" ht="15" thickBot="1">
      <c r="A214" s="109">
        <v>45869</v>
      </c>
      <c r="B214" s="110" t="s">
        <v>41</v>
      </c>
      <c r="C214" s="111" t="s">
        <v>88</v>
      </c>
      <c r="D214" s="110"/>
      <c r="E214" s="111"/>
      <c r="F214" s="112"/>
      <c r="G214" s="113"/>
      <c r="H214" s="113"/>
      <c r="I214" s="113"/>
      <c r="J214" s="113"/>
      <c r="K214" s="113"/>
      <c r="L214" s="114"/>
    </row>
    <row r="215" spans="1:12">
      <c r="A215" s="40"/>
      <c r="B215" s="40"/>
      <c r="C215" s="42"/>
      <c r="D215" s="40"/>
      <c r="E215" s="42"/>
      <c r="F215" s="43"/>
      <c r="G215" s="45"/>
      <c r="H215" s="44"/>
      <c r="I215" s="44"/>
      <c r="J215" s="44"/>
      <c r="K215" s="45"/>
      <c r="L215" s="102"/>
    </row>
    <row r="216" spans="1:12">
      <c r="A216" s="30"/>
      <c r="B216" s="30"/>
      <c r="C216" s="31"/>
      <c r="D216" s="30"/>
      <c r="E216" s="31"/>
      <c r="F216" s="32"/>
      <c r="G216" s="56"/>
      <c r="H216" s="34"/>
      <c r="I216" s="34"/>
      <c r="J216" s="34"/>
      <c r="K216" s="31"/>
      <c r="L216" s="26"/>
    </row>
    <row r="217" spans="1:12" ht="15" thickBot="1">
      <c r="A217" s="79" t="s">
        <v>27</v>
      </c>
      <c r="B217" s="79"/>
      <c r="C217" s="79"/>
      <c r="D217" s="79"/>
      <c r="E217" s="79"/>
      <c r="F217" s="79"/>
      <c r="G217" s="54"/>
      <c r="H217" s="55"/>
      <c r="I217" s="55"/>
      <c r="J217" s="55"/>
      <c r="K217" s="54"/>
    </row>
    <row r="218" spans="1:12">
      <c r="A218" s="30"/>
      <c r="B218" s="30"/>
      <c r="C218" s="31"/>
      <c r="D218" s="30"/>
      <c r="E218" s="31"/>
      <c r="F218" s="32"/>
      <c r="G218" s="33"/>
      <c r="H218" s="34"/>
      <c r="I218" s="34"/>
      <c r="J218" s="34"/>
      <c r="K218" s="56"/>
    </row>
    <row r="219" spans="1:12" ht="15" thickBot="1"/>
    <row r="220" spans="1:12" ht="15" thickBot="1">
      <c r="F220" s="58"/>
      <c r="G220" s="59"/>
      <c r="H220" s="60"/>
      <c r="I220" s="60"/>
      <c r="J220" s="60"/>
      <c r="K220" s="61"/>
      <c r="L220" s="61"/>
    </row>
    <row r="221" spans="1:12" ht="15" thickBot="1">
      <c r="B221" s="62"/>
      <c r="F221" s="63"/>
      <c r="G221" s="64"/>
      <c r="H221" s="65"/>
      <c r="I221" s="65"/>
      <c r="J221" s="65"/>
      <c r="K221" s="64"/>
      <c r="L221" s="64"/>
    </row>
    <row r="224" spans="1:12">
      <c r="H224" s="57">
        <f>+H221/0.105</f>
        <v>0</v>
      </c>
      <c r="I224" s="57">
        <f>+I221/0.105</f>
        <v>0</v>
      </c>
    </row>
  </sheetData>
  <mergeCells count="1">
    <mergeCell ref="K2:M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3916-62CD-44C3-8DE7-93602E03152E}">
  <dimension ref="A1:L44"/>
  <sheetViews>
    <sheetView topLeftCell="A10" workbookViewId="0">
      <selection activeCell="J11" sqref="J11:K11"/>
    </sheetView>
  </sheetViews>
  <sheetFormatPr baseColWidth="10" defaultRowHeight="14.25"/>
  <cols>
    <col min="1" max="1" width="13.5" customWidth="1"/>
    <col min="2" max="2" width="13.75" customWidth="1"/>
    <col min="3" max="3" width="12.375" customWidth="1"/>
    <col min="4" max="4" width="8.375" customWidth="1"/>
    <col min="5" max="5" width="18.125" customWidth="1"/>
    <col min="6" max="6" width="17.375" customWidth="1"/>
    <col min="7" max="7" width="15.625" customWidth="1"/>
    <col min="8" max="8" width="16.75" customWidth="1"/>
    <col min="9" max="9" width="6" customWidth="1"/>
    <col min="10" max="10" width="16.75" customWidth="1"/>
    <col min="11" max="11" width="17.875" customWidth="1"/>
    <col min="12" max="12" width="24.125" customWidth="1"/>
  </cols>
  <sheetData>
    <row r="1" spans="1:11" ht="20.25">
      <c r="A1" s="233" t="s">
        <v>9</v>
      </c>
      <c r="B1" s="233"/>
      <c r="C1" s="233"/>
      <c r="D1" s="233"/>
      <c r="E1" s="233"/>
      <c r="F1" s="233"/>
      <c r="G1" s="134"/>
    </row>
    <row r="2" spans="1:11" ht="21" thickBot="1">
      <c r="A2" s="207"/>
      <c r="B2" s="232" t="s">
        <v>0</v>
      </c>
      <c r="C2" s="232"/>
      <c r="D2" s="207"/>
      <c r="E2" s="236" t="s">
        <v>7</v>
      </c>
      <c r="F2" s="237"/>
      <c r="G2" s="238"/>
      <c r="H2" s="207" t="s">
        <v>3</v>
      </c>
      <c r="I2" s="15"/>
      <c r="J2" s="234" t="s">
        <v>196</v>
      </c>
      <c r="K2" s="234"/>
    </row>
    <row r="3" spans="1:11" ht="16.5" thickBot="1">
      <c r="A3" s="16" t="s">
        <v>8</v>
      </c>
      <c r="B3" s="16" t="s">
        <v>1</v>
      </c>
      <c r="C3" s="16" t="s">
        <v>2</v>
      </c>
      <c r="D3" s="16" t="s">
        <v>5</v>
      </c>
      <c r="E3" s="16" t="s">
        <v>4</v>
      </c>
      <c r="F3" s="137" t="s">
        <v>6</v>
      </c>
      <c r="G3" s="139" t="s">
        <v>123</v>
      </c>
      <c r="H3" s="138" t="s">
        <v>13</v>
      </c>
      <c r="I3" s="24"/>
    </row>
    <row r="4" spans="1:11" ht="21" customHeight="1" thickBot="1">
      <c r="A4" s="14">
        <v>45992</v>
      </c>
      <c r="B4" s="8">
        <f>2+12+6</f>
        <v>20</v>
      </c>
      <c r="C4" s="8">
        <f>4+3+6</f>
        <v>13</v>
      </c>
      <c r="D4" s="8"/>
      <c r="E4" s="69">
        <f>7200</f>
        <v>7200</v>
      </c>
      <c r="F4" s="17">
        <f>3900+6000</f>
        <v>9900</v>
      </c>
      <c r="G4" s="135">
        <f>27000</f>
        <v>27000</v>
      </c>
      <c r="H4" s="20">
        <f>E4+F4</f>
        <v>17100</v>
      </c>
      <c r="I4" s="28"/>
      <c r="J4" s="11" t="s">
        <v>10</v>
      </c>
      <c r="K4" s="12">
        <f>SUMIF(F4:F31,"&gt;0")</f>
        <v>420300</v>
      </c>
    </row>
    <row r="5" spans="1:11" ht="21" customHeight="1" thickBot="1">
      <c r="A5" s="14">
        <v>45993</v>
      </c>
      <c r="B5" s="8">
        <f>2+3+2+3</f>
        <v>10</v>
      </c>
      <c r="C5" s="8">
        <f>2+2+2+3</f>
        <v>9</v>
      </c>
      <c r="D5" s="8"/>
      <c r="E5" s="69">
        <f>4600+2600</f>
        <v>7200</v>
      </c>
      <c r="F5" s="18">
        <f>5600+2000</f>
        <v>7600</v>
      </c>
      <c r="G5" s="135">
        <v>9600</v>
      </c>
      <c r="H5" s="20">
        <f t="shared" ref="H5:H18" si="0">E5+F5</f>
        <v>14800</v>
      </c>
      <c r="I5" s="28"/>
      <c r="J5" s="11" t="s">
        <v>11</v>
      </c>
      <c r="K5" s="13">
        <f>SUMIF(E4:E31,"&gt;0")</f>
        <v>629000</v>
      </c>
    </row>
    <row r="6" spans="1:11" ht="21" customHeight="1" thickBot="1">
      <c r="A6" s="14">
        <v>45994</v>
      </c>
      <c r="B6" s="8"/>
      <c r="C6" s="8">
        <v>2</v>
      </c>
      <c r="D6" s="8"/>
      <c r="E6" s="69">
        <v>2600</v>
      </c>
      <c r="F6" s="18"/>
      <c r="G6" s="135"/>
      <c r="H6" s="20">
        <f t="shared" si="0"/>
        <v>2600</v>
      </c>
      <c r="I6" s="28"/>
      <c r="J6" s="11" t="s">
        <v>124</v>
      </c>
      <c r="K6" s="136">
        <f>SUMIF(G4:G34,"&gt;0")</f>
        <v>616900</v>
      </c>
    </row>
    <row r="7" spans="1:11" ht="21" customHeight="1" thickBot="1">
      <c r="A7" s="14">
        <v>45995</v>
      </c>
      <c r="B7" s="8">
        <f>6+10</f>
        <v>16</v>
      </c>
      <c r="C7" s="8">
        <v>4</v>
      </c>
      <c r="D7" s="8"/>
      <c r="E7" s="69">
        <f>11200+10000</f>
        <v>21200</v>
      </c>
      <c r="F7" s="19"/>
      <c r="G7" s="135"/>
      <c r="H7" s="20">
        <f t="shared" si="0"/>
        <v>21200</v>
      </c>
      <c r="I7" s="28"/>
      <c r="J7" s="179" t="s">
        <v>3</v>
      </c>
      <c r="K7" s="131">
        <f>K4+K5+K6</f>
        <v>1666200</v>
      </c>
    </row>
    <row r="8" spans="1:11" ht="21" customHeight="1" thickBot="1">
      <c r="A8" s="14">
        <v>45996</v>
      </c>
      <c r="B8" s="8">
        <f>6+10+4+3+6</f>
        <v>29</v>
      </c>
      <c r="C8" s="8">
        <f>4+10+4+2+3+3+4</f>
        <v>30</v>
      </c>
      <c r="D8" s="8"/>
      <c r="E8" s="69">
        <f>5200+2600+7900</f>
        <v>15700</v>
      </c>
      <c r="F8" s="19">
        <f>6000+23000+5200+5200</f>
        <v>39400</v>
      </c>
      <c r="G8" s="136">
        <f>9600+7800</f>
        <v>17400</v>
      </c>
      <c r="H8" s="20">
        <f t="shared" si="0"/>
        <v>55100</v>
      </c>
    </row>
    <row r="9" spans="1:11" ht="21" customHeight="1" thickBot="1">
      <c r="A9" s="14">
        <v>45997</v>
      </c>
      <c r="B9" s="8">
        <f>6+1+2+8+12+7+6+5</f>
        <v>47</v>
      </c>
      <c r="C9" s="8">
        <f>6+2+4+5+2+3</f>
        <v>22</v>
      </c>
      <c r="D9" s="8">
        <f>1+1+1</f>
        <v>3</v>
      </c>
      <c r="E9" s="69">
        <f>13800+3600+8000+14200+7200+2600</f>
        <v>49400</v>
      </c>
      <c r="F9" s="100">
        <f>13500+10000</f>
        <v>23500</v>
      </c>
      <c r="G9" s="136">
        <v>10200</v>
      </c>
      <c r="H9" s="20">
        <f t="shared" si="0"/>
        <v>72900</v>
      </c>
      <c r="J9" s="234" t="s">
        <v>14</v>
      </c>
      <c r="K9" s="234"/>
    </row>
    <row r="10" spans="1:11" ht="21" customHeight="1" thickBot="1">
      <c r="A10" s="14">
        <v>45998</v>
      </c>
      <c r="B10" s="8">
        <f>6+8+4+4+6+2+5+6</f>
        <v>41</v>
      </c>
      <c r="C10" s="8">
        <f>12+10+8+4+6+2+3+6</f>
        <v>51</v>
      </c>
      <c r="D10" s="8">
        <f>1+1</f>
        <v>2</v>
      </c>
      <c r="E10" s="69">
        <f>21000+13800</f>
        <v>34800</v>
      </c>
      <c r="F10" s="100">
        <f>14400+14400+7000</f>
        <v>35800</v>
      </c>
      <c r="G10" s="136">
        <f>30600+14700+12200</f>
        <v>57500</v>
      </c>
      <c r="H10" s="20">
        <f>E10+F10</f>
        <v>70600</v>
      </c>
      <c r="J10" s="27" t="s">
        <v>1</v>
      </c>
      <c r="K10" s="27" t="s">
        <v>2</v>
      </c>
    </row>
    <row r="11" spans="1:11" ht="21" customHeight="1" thickBot="1">
      <c r="A11" s="14">
        <v>45999</v>
      </c>
      <c r="B11" s="8">
        <f>8+12+2+6</f>
        <v>28</v>
      </c>
      <c r="C11" s="8">
        <f>8+6+2+6</f>
        <v>22</v>
      </c>
      <c r="D11" s="8">
        <v>3</v>
      </c>
      <c r="E11" s="69">
        <f>18400+12000+7800+3000+7000</f>
        <v>48200</v>
      </c>
      <c r="F11" s="100">
        <v>5800</v>
      </c>
      <c r="G11" s="136">
        <f>11400+7800</f>
        <v>19200</v>
      </c>
      <c r="H11" s="20">
        <f t="shared" si="0"/>
        <v>54000</v>
      </c>
      <c r="J11" s="29">
        <f>SUM(B4:B33)</f>
        <v>684</v>
      </c>
      <c r="K11" s="29">
        <f>SUM(C4:C33)</f>
        <v>594</v>
      </c>
    </row>
    <row r="12" spans="1:11" ht="21" customHeight="1" thickBot="1">
      <c r="A12" s="14">
        <v>46000</v>
      </c>
      <c r="B12" s="8">
        <f>3+2+3</f>
        <v>8</v>
      </c>
      <c r="C12" s="8">
        <f>2+3+2+3+6</f>
        <v>16</v>
      </c>
      <c r="D12" s="8"/>
      <c r="E12" s="69">
        <f>2600+4600</f>
        <v>7200</v>
      </c>
      <c r="F12" s="100">
        <v>7800</v>
      </c>
      <c r="G12" s="136">
        <f>11400+9600</f>
        <v>21000</v>
      </c>
      <c r="H12" s="20">
        <f t="shared" si="0"/>
        <v>15000</v>
      </c>
    </row>
    <row r="13" spans="1:11" ht="21" customHeight="1" thickBot="1">
      <c r="A13" s="14">
        <v>46001</v>
      </c>
      <c r="B13" s="8">
        <f>3+4+12</f>
        <v>19</v>
      </c>
      <c r="C13" s="8">
        <f>8+4</f>
        <v>12</v>
      </c>
      <c r="D13" s="8"/>
      <c r="E13" s="69">
        <f>3000+5200</f>
        <v>8200</v>
      </c>
      <c r="F13" s="100"/>
      <c r="G13" s="136">
        <f>20400+15600</f>
        <v>36000</v>
      </c>
      <c r="H13" s="20">
        <f t="shared" si="0"/>
        <v>8200</v>
      </c>
    </row>
    <row r="14" spans="1:11" ht="21" customHeight="1" thickBot="1">
      <c r="A14" s="14">
        <v>46002</v>
      </c>
      <c r="B14" s="8">
        <f>6+2</f>
        <v>8</v>
      </c>
      <c r="C14" s="8">
        <v>3</v>
      </c>
      <c r="D14" s="8"/>
      <c r="E14" s="69">
        <f>6000+2000</f>
        <v>8000</v>
      </c>
      <c r="F14" s="100">
        <f>3900</f>
        <v>3900</v>
      </c>
      <c r="G14" s="136"/>
      <c r="H14" s="20">
        <f t="shared" si="0"/>
        <v>11900</v>
      </c>
      <c r="J14" s="97"/>
      <c r="K14" s="131"/>
    </row>
    <row r="15" spans="1:11" ht="21" customHeight="1" thickBot="1">
      <c r="A15" s="14">
        <v>46003</v>
      </c>
      <c r="B15" s="8"/>
      <c r="C15" s="8">
        <v>6</v>
      </c>
      <c r="D15" s="8"/>
      <c r="E15" s="69">
        <v>7800</v>
      </c>
      <c r="F15" s="19"/>
      <c r="G15" s="136"/>
      <c r="H15" s="20">
        <f t="shared" si="0"/>
        <v>7800</v>
      </c>
      <c r="K15" s="131"/>
    </row>
    <row r="16" spans="1:11" ht="21" customHeight="1" thickBot="1">
      <c r="A16" s="14">
        <v>46004</v>
      </c>
      <c r="B16" s="8">
        <f>1+6+3+6+2+1+4</f>
        <v>23</v>
      </c>
      <c r="C16" s="8">
        <f>6+2+2+3+4+3+4+8</f>
        <v>32</v>
      </c>
      <c r="D16" s="8">
        <v>3</v>
      </c>
      <c r="E16" s="69">
        <f>10800+3600+6000+2600+6000+7200+3900+6200</f>
        <v>46300</v>
      </c>
      <c r="F16" s="19">
        <v>14400</v>
      </c>
      <c r="G16" s="136">
        <v>9600</v>
      </c>
      <c r="H16" s="20">
        <f t="shared" si="0"/>
        <v>60700</v>
      </c>
    </row>
    <row r="17" spans="1:12" ht="21" customHeight="1" thickBot="1">
      <c r="A17" s="14">
        <v>46005</v>
      </c>
      <c r="B17" s="8">
        <f>6+6+2+6+6+6+8+12+6+6+4+2+3+3+2+3+2+3+4</f>
        <v>90</v>
      </c>
      <c r="C17" s="8">
        <f>12+4+10+6+1+12+6+3+6+6+4+6+4+2+3+3+3+4+3+4+12+2+2</f>
        <v>118</v>
      </c>
      <c r="D17" s="8">
        <f>2+1</f>
        <v>3</v>
      </c>
      <c r="E17" s="69">
        <f>15600+5200+9700+19200+6000+13800+11600+4600+11200+9600+3900+9000+15600+2600</f>
        <v>137600</v>
      </c>
      <c r="F17" s="19">
        <f>7800+13200+12000+6900+2600</f>
        <v>42500</v>
      </c>
      <c r="G17" s="136">
        <f>19000+22800+19200+8300+19200+12800</f>
        <v>101300</v>
      </c>
      <c r="H17" s="20">
        <f t="shared" si="0"/>
        <v>180100</v>
      </c>
      <c r="L17" s="131"/>
    </row>
    <row r="18" spans="1:12" ht="21" customHeight="1" thickBot="1">
      <c r="A18" s="14">
        <v>46006</v>
      </c>
      <c r="B18" s="8">
        <f>3+1+6+2+5+4</f>
        <v>21</v>
      </c>
      <c r="C18" s="8">
        <f>2+3+2+6</f>
        <v>13</v>
      </c>
      <c r="D18" s="8"/>
      <c r="E18" s="69">
        <f>3000+9900+4600+5000+11800</f>
        <v>34300</v>
      </c>
      <c r="F18" s="19">
        <v>3600</v>
      </c>
      <c r="G18" s="136"/>
      <c r="H18" s="20">
        <f t="shared" si="0"/>
        <v>37900</v>
      </c>
    </row>
    <row r="19" spans="1:12" ht="21" customHeight="1" thickBot="1">
      <c r="A19" s="14">
        <v>46007</v>
      </c>
      <c r="B19" s="8">
        <f>12+12+2</f>
        <v>26</v>
      </c>
      <c r="C19" s="8">
        <f>6+2+4+3</f>
        <v>15</v>
      </c>
      <c r="D19" s="8">
        <v>3</v>
      </c>
      <c r="E19" s="69">
        <f>17600+5200+5900</f>
        <v>28700</v>
      </c>
      <c r="F19" s="19">
        <f>12000+7800</f>
        <v>19800</v>
      </c>
      <c r="G19" s="136"/>
      <c r="H19" s="20">
        <f>E19+F19</f>
        <v>48500</v>
      </c>
    </row>
    <row r="20" spans="1:12" ht="21" customHeight="1" thickBot="1">
      <c r="A20" s="14">
        <v>46008</v>
      </c>
      <c r="B20" s="8">
        <f>2+4+2</f>
        <v>8</v>
      </c>
      <c r="C20" s="8">
        <f>2+4+4+12+2</f>
        <v>24</v>
      </c>
      <c r="D20" s="8"/>
      <c r="E20" s="69">
        <v>2600</v>
      </c>
      <c r="F20" s="19">
        <f>4600+9200+15600</f>
        <v>29400</v>
      </c>
      <c r="G20" s="136">
        <v>10200</v>
      </c>
      <c r="H20" s="20">
        <f>E20+F20</f>
        <v>32000</v>
      </c>
    </row>
    <row r="21" spans="1:12" ht="21" customHeight="1" thickBot="1">
      <c r="A21" s="14">
        <v>46009</v>
      </c>
      <c r="B21" s="8">
        <f>6+2+6+6</f>
        <v>20</v>
      </c>
      <c r="C21" s="8">
        <f>6+2+4+6</f>
        <v>18</v>
      </c>
      <c r="D21" s="8"/>
      <c r="E21" s="69">
        <f>6000+6000</f>
        <v>12000</v>
      </c>
      <c r="F21" s="19">
        <v>7200</v>
      </c>
      <c r="G21" s="136">
        <f>11400+11600+11400</f>
        <v>34400</v>
      </c>
      <c r="H21" s="20">
        <f t="shared" ref="H21:H29" si="1">E21+F21</f>
        <v>19200</v>
      </c>
    </row>
    <row r="22" spans="1:12" ht="21" customHeight="1" thickBot="1">
      <c r="A22" s="14">
        <v>46010</v>
      </c>
      <c r="B22" s="8">
        <f>2+3+6+3+2</f>
        <v>16</v>
      </c>
      <c r="C22" s="8">
        <f>16+3+6+3+6+6</f>
        <v>40</v>
      </c>
      <c r="D22" s="8"/>
      <c r="E22" s="69">
        <f>9800+11400</f>
        <v>21200</v>
      </c>
      <c r="F22" s="19">
        <f>6900+13800+6900</f>
        <v>27600</v>
      </c>
      <c r="G22" s="136">
        <v>33000</v>
      </c>
      <c r="H22" s="20">
        <f t="shared" si="1"/>
        <v>48800</v>
      </c>
    </row>
    <row r="23" spans="1:12" ht="21" customHeight="1" thickBot="1">
      <c r="A23" s="14">
        <v>46011</v>
      </c>
      <c r="B23" s="8">
        <f>4+12+6</f>
        <v>22</v>
      </c>
      <c r="C23" s="8">
        <f>2+6+6</f>
        <v>14</v>
      </c>
      <c r="D23" s="8"/>
      <c r="E23" s="69">
        <f>6600+11400</f>
        <v>18000</v>
      </c>
      <c r="F23" s="19">
        <v>12000</v>
      </c>
      <c r="G23" s="136">
        <f>11400+7800</f>
        <v>19200</v>
      </c>
      <c r="H23" s="20">
        <f t="shared" si="1"/>
        <v>30000</v>
      </c>
    </row>
    <row r="24" spans="1:12" ht="21" customHeight="1" thickBot="1">
      <c r="A24" s="14">
        <v>46012</v>
      </c>
      <c r="B24" s="8">
        <f>12+12+6+6+2+4+6+8</f>
        <v>56</v>
      </c>
      <c r="C24" s="8">
        <f>6+3+10+6+6+4</f>
        <v>35</v>
      </c>
      <c r="D24" s="8">
        <v>2</v>
      </c>
      <c r="E24" s="69">
        <v>15000</v>
      </c>
      <c r="F24" s="19">
        <f>12000+12000+6000+6300+4000</f>
        <v>40300</v>
      </c>
      <c r="G24" s="136">
        <f>19200+11400+19200+18000</f>
        <v>67800</v>
      </c>
      <c r="H24" s="20">
        <f t="shared" si="1"/>
        <v>55300</v>
      </c>
    </row>
    <row r="25" spans="1:12" ht="21" customHeight="1" thickBot="1">
      <c r="A25" s="14">
        <v>46013</v>
      </c>
      <c r="B25" s="8">
        <f>6+6+3+5+5+5+2</f>
        <v>32</v>
      </c>
      <c r="C25" s="8">
        <f>3+6+3</f>
        <v>12</v>
      </c>
      <c r="D25" s="8">
        <v>5</v>
      </c>
      <c r="E25" s="69">
        <f>7800+5000+4900+5000+5900</f>
        <v>28600</v>
      </c>
      <c r="F25" s="19">
        <f>6000+7800</f>
        <v>13800</v>
      </c>
      <c r="G25" s="136">
        <v>9600</v>
      </c>
      <c r="H25" s="20">
        <f t="shared" si="1"/>
        <v>42400</v>
      </c>
    </row>
    <row r="26" spans="1:12" ht="21" customHeight="1" thickBot="1">
      <c r="A26" s="14">
        <v>46014</v>
      </c>
      <c r="B26" s="8">
        <f>6+4+8</f>
        <v>18</v>
      </c>
      <c r="C26" s="8">
        <f>6+2</f>
        <v>8</v>
      </c>
      <c r="D26" s="8"/>
      <c r="E26" s="69">
        <v>6600</v>
      </c>
      <c r="F26" s="19">
        <v>8000</v>
      </c>
      <c r="G26" s="136">
        <v>19200</v>
      </c>
      <c r="H26" s="20">
        <f t="shared" si="1"/>
        <v>14600</v>
      </c>
    </row>
    <row r="27" spans="1:12" ht="21" customHeight="1" thickBot="1">
      <c r="A27" s="14">
        <v>46015</v>
      </c>
      <c r="B27" s="8">
        <f>6+3+2+4</f>
        <v>15</v>
      </c>
      <c r="C27" s="8">
        <f>6+3+2+8</f>
        <v>19</v>
      </c>
      <c r="D27" s="8"/>
      <c r="E27" s="69">
        <f>6900+4600+14400</f>
        <v>25900</v>
      </c>
      <c r="F27" s="19"/>
      <c r="G27" s="136">
        <f>19200</f>
        <v>19200</v>
      </c>
      <c r="H27" s="20">
        <f t="shared" si="1"/>
        <v>25900</v>
      </c>
    </row>
    <row r="28" spans="1:12" ht="21" customHeight="1" thickBot="1">
      <c r="A28" s="14">
        <v>46016</v>
      </c>
      <c r="B28" s="8"/>
      <c r="C28" s="8"/>
      <c r="D28" s="8"/>
      <c r="E28" s="69"/>
      <c r="F28" s="19"/>
      <c r="G28" s="136"/>
      <c r="H28" s="20">
        <f t="shared" si="1"/>
        <v>0</v>
      </c>
    </row>
    <row r="29" spans="1:12" ht="21" customHeight="1" thickBot="1">
      <c r="A29" s="14">
        <v>46017</v>
      </c>
      <c r="B29" s="8">
        <f>12+3</f>
        <v>15</v>
      </c>
      <c r="C29" s="8">
        <v>3</v>
      </c>
      <c r="D29" s="8"/>
      <c r="E29" s="69"/>
      <c r="F29" s="19">
        <v>6900</v>
      </c>
      <c r="G29" s="136">
        <v>15600</v>
      </c>
      <c r="H29" s="20">
        <f t="shared" si="1"/>
        <v>6900</v>
      </c>
    </row>
    <row r="30" spans="1:12" ht="21" customHeight="1" thickBot="1">
      <c r="A30" s="14">
        <v>46018</v>
      </c>
      <c r="B30" s="8">
        <f>12+3+4+6+6+6+6</f>
        <v>43</v>
      </c>
      <c r="C30" s="8">
        <f>1+4+12</f>
        <v>17</v>
      </c>
      <c r="D30" s="8"/>
      <c r="E30" s="69">
        <f>4300+6000+6000+6000</f>
        <v>22300</v>
      </c>
      <c r="F30" s="19">
        <f>12000+9200</f>
        <v>21200</v>
      </c>
      <c r="G30" s="136">
        <v>30600</v>
      </c>
      <c r="H30" s="20">
        <f>E30+F30</f>
        <v>43500</v>
      </c>
    </row>
    <row r="31" spans="1:12" ht="21" customHeight="1" thickBot="1">
      <c r="A31" s="14">
        <v>46019</v>
      </c>
      <c r="B31" s="8">
        <f>12+12+2+5+6</f>
        <v>37</v>
      </c>
      <c r="C31" s="8">
        <f>7+6+2+7+6</f>
        <v>28</v>
      </c>
      <c r="D31" s="8"/>
      <c r="E31" s="69">
        <f>7800+4600</f>
        <v>12400</v>
      </c>
      <c r="F31" s="19">
        <f>12000+14100+13800</f>
        <v>39900</v>
      </c>
      <c r="G31" s="136">
        <v>28900</v>
      </c>
      <c r="H31" s="20">
        <f>E31+F31</f>
        <v>52300</v>
      </c>
    </row>
    <row r="32" spans="1:12" ht="21" customHeight="1" thickBot="1">
      <c r="A32" s="14">
        <v>46020</v>
      </c>
      <c r="B32" s="8"/>
      <c r="C32" s="8"/>
      <c r="D32" s="8"/>
      <c r="E32" s="69"/>
      <c r="F32" s="19"/>
      <c r="G32" s="136"/>
      <c r="H32" s="20">
        <f>E32+F32</f>
        <v>0</v>
      </c>
    </row>
    <row r="33" spans="1:8" ht="21" customHeight="1" thickBot="1">
      <c r="A33" s="14">
        <v>46021</v>
      </c>
      <c r="B33" s="8">
        <f>4+12</f>
        <v>16</v>
      </c>
      <c r="C33" s="8">
        <v>8</v>
      </c>
      <c r="D33" s="8"/>
      <c r="E33" s="69">
        <v>12000</v>
      </c>
      <c r="F33" s="19"/>
      <c r="G33" s="136">
        <v>20400</v>
      </c>
      <c r="H33" s="20">
        <f>E33+F33</f>
        <v>12000</v>
      </c>
    </row>
    <row r="34" spans="1:8" ht="21" customHeight="1" thickBot="1">
      <c r="A34" s="14">
        <v>46022</v>
      </c>
      <c r="B34" s="8"/>
      <c r="C34" s="8"/>
      <c r="D34" s="8"/>
      <c r="E34" s="69"/>
      <c r="F34" s="19"/>
      <c r="G34" s="136"/>
      <c r="H34" s="20">
        <f>E34+F34</f>
        <v>0</v>
      </c>
    </row>
    <row r="35" spans="1:8" ht="21" customHeight="1">
      <c r="A35" s="14"/>
      <c r="B35" s="9"/>
      <c r="C35" s="9"/>
      <c r="D35" s="9"/>
      <c r="E35" s="9"/>
      <c r="F35" s="9"/>
      <c r="G35" s="9"/>
    </row>
    <row r="36" spans="1:8" ht="21" customHeight="1">
      <c r="A36" s="14"/>
      <c r="B36" s="9"/>
      <c r="C36" s="9"/>
      <c r="D36" s="9"/>
      <c r="E36" s="9"/>
      <c r="F36" s="9"/>
      <c r="G36" s="9"/>
    </row>
    <row r="37" spans="1:8" ht="21" customHeight="1">
      <c r="A37" s="14"/>
      <c r="B37" s="9"/>
      <c r="C37" s="9"/>
      <c r="D37" s="9"/>
      <c r="E37" s="9"/>
      <c r="F37" s="9"/>
      <c r="G37" s="9"/>
    </row>
    <row r="38" spans="1:8" ht="21" customHeight="1">
      <c r="A38" s="14"/>
      <c r="B38" s="9"/>
      <c r="C38" s="9"/>
      <c r="D38" s="9"/>
      <c r="E38" s="9"/>
      <c r="F38" s="9"/>
      <c r="G38" s="9"/>
    </row>
    <row r="39" spans="1:8" ht="21" customHeight="1">
      <c r="A39" s="14"/>
      <c r="B39" s="9"/>
      <c r="C39" s="9"/>
      <c r="D39" s="9"/>
      <c r="E39" s="9"/>
      <c r="F39" s="9"/>
      <c r="G39" s="9"/>
    </row>
    <row r="40" spans="1:8" ht="21" customHeight="1">
      <c r="A40" s="14"/>
      <c r="B40" s="9"/>
      <c r="C40" s="9"/>
      <c r="D40" s="9"/>
      <c r="E40" s="9"/>
      <c r="F40" s="9"/>
      <c r="G40" s="9"/>
    </row>
    <row r="41" spans="1:8" ht="21" customHeight="1">
      <c r="A41" s="9"/>
      <c r="B41" s="9"/>
      <c r="C41" s="9"/>
      <c r="D41" s="9"/>
      <c r="E41" s="9"/>
      <c r="F41" s="9"/>
      <c r="G41" s="9"/>
    </row>
    <row r="42" spans="1:8" ht="20.25">
      <c r="A42" s="7"/>
      <c r="B42" s="7"/>
      <c r="C42" s="7"/>
      <c r="D42" s="7"/>
      <c r="E42" s="7"/>
      <c r="F42" s="7"/>
      <c r="G42" s="7"/>
    </row>
    <row r="43" spans="1:8" ht="20.25">
      <c r="A43" s="7"/>
      <c r="B43" s="7"/>
      <c r="C43" s="7"/>
      <c r="D43" s="7"/>
      <c r="E43" s="7"/>
      <c r="F43" s="7"/>
      <c r="G43" s="7"/>
    </row>
    <row r="44" spans="1:8" ht="20.25">
      <c r="A44" s="7"/>
      <c r="B44" s="7"/>
      <c r="C44" s="7"/>
      <c r="D44" s="7"/>
      <c r="E44" s="7"/>
      <c r="F44" s="7"/>
      <c r="G44" s="7"/>
    </row>
  </sheetData>
  <mergeCells count="5">
    <mergeCell ref="A1:F1"/>
    <mergeCell ref="B2:C2"/>
    <mergeCell ref="E2:G2"/>
    <mergeCell ref="J2:K2"/>
    <mergeCell ref="J9:K9"/>
  </mergeCells>
  <pageMargins left="0.7" right="0.7" top="0.75" bottom="0.75" header="0.3" footer="0.3"/>
  <pageSetup orientation="portrait" copies="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B294-C977-4E15-8E29-9D3B8DC839CE}">
  <dimension ref="A1:BB280"/>
  <sheetViews>
    <sheetView topLeftCell="D1" zoomScaleNormal="100" workbookViewId="0">
      <pane ySplit="3" topLeftCell="A16" activePane="bottomLeft" state="frozen"/>
      <selection activeCell="F39" sqref="F39"/>
      <selection pane="bottomLeft" activeCell="G26" sqref="G26:L26"/>
    </sheetView>
  </sheetViews>
  <sheetFormatPr baseColWidth="10" defaultRowHeight="14.25"/>
  <cols>
    <col min="1" max="1" width="11" style="25"/>
    <col min="2" max="2" width="9.375" style="25" customWidth="1"/>
    <col min="3" max="3" width="19" style="25" customWidth="1"/>
    <col min="4" max="4" width="32.125" style="25" customWidth="1"/>
    <col min="5" max="5" width="10.125" style="25" customWidth="1"/>
    <col min="6" max="6" width="72.875" style="25" customWidth="1"/>
    <col min="7" max="7" width="13.75" style="25" customWidth="1"/>
    <col min="8" max="8" width="15.25" style="57" hidden="1" customWidth="1"/>
    <col min="9" max="9" width="15.625" style="57" hidden="1" customWidth="1"/>
    <col min="10" max="10" width="13.25" style="57" hidden="1" customWidth="1"/>
    <col min="11" max="11" width="15.625" style="25" customWidth="1"/>
    <col min="12" max="12" width="16.375" bestFit="1" customWidth="1"/>
    <col min="13" max="13" width="14.5" customWidth="1"/>
    <col min="14" max="14" width="13.25" customWidth="1"/>
  </cols>
  <sheetData>
    <row r="1" spans="1:54" s="85" customFormat="1">
      <c r="A1" s="80" t="s">
        <v>15</v>
      </c>
      <c r="B1" s="81"/>
      <c r="C1" s="81"/>
      <c r="D1" s="81"/>
      <c r="E1" s="81"/>
      <c r="F1" s="81"/>
      <c r="G1" s="81"/>
      <c r="H1" s="82"/>
      <c r="I1" s="82"/>
      <c r="J1" s="82"/>
      <c r="K1" s="83"/>
      <c r="L1" s="84"/>
      <c r="M1" s="84"/>
    </row>
    <row r="2" spans="1:54" s="85" customFormat="1">
      <c r="A2" s="86"/>
      <c r="B2" s="87"/>
      <c r="C2" s="87"/>
      <c r="D2" s="87"/>
      <c r="E2" s="87"/>
      <c r="F2" s="87"/>
      <c r="G2" s="87"/>
      <c r="H2" s="88"/>
      <c r="I2" s="88"/>
      <c r="J2" s="88"/>
      <c r="K2" s="235" t="s">
        <v>25</v>
      </c>
      <c r="L2" s="235"/>
      <c r="M2" s="235"/>
    </row>
    <row r="3" spans="1:54" s="85" customFormat="1">
      <c r="A3" s="90" t="s">
        <v>16</v>
      </c>
      <c r="B3" s="90" t="s">
        <v>17</v>
      </c>
      <c r="C3" s="90" t="s">
        <v>18</v>
      </c>
      <c r="D3" s="90" t="s">
        <v>19</v>
      </c>
      <c r="E3" s="90" t="s">
        <v>87</v>
      </c>
      <c r="F3" s="90" t="s">
        <v>20</v>
      </c>
      <c r="G3" s="90" t="s">
        <v>21</v>
      </c>
      <c r="H3" s="91" t="s">
        <v>22</v>
      </c>
      <c r="I3" s="91" t="s">
        <v>23</v>
      </c>
      <c r="J3" s="91" t="s">
        <v>24</v>
      </c>
      <c r="K3" s="142" t="s">
        <v>4</v>
      </c>
      <c r="L3" s="143" t="s">
        <v>37</v>
      </c>
      <c r="M3" s="144" t="s">
        <v>126</v>
      </c>
    </row>
    <row r="4" spans="1:54" s="165" customFormat="1">
      <c r="A4" s="161">
        <v>46024</v>
      </c>
      <c r="B4" s="161" t="s">
        <v>41</v>
      </c>
      <c r="C4" s="162" t="s">
        <v>147</v>
      </c>
      <c r="D4" s="161" t="s">
        <v>147</v>
      </c>
      <c r="E4" s="162">
        <v>1</v>
      </c>
      <c r="F4" s="163" t="s">
        <v>192</v>
      </c>
      <c r="G4" s="164">
        <f>48459.06+10176.4+22800</f>
        <v>81435.459999999992</v>
      </c>
      <c r="H4" s="164"/>
      <c r="I4" s="164"/>
      <c r="J4" s="164"/>
      <c r="K4" s="164">
        <v>0</v>
      </c>
      <c r="L4" s="164"/>
      <c r="M4" s="166">
        <f>G4</f>
        <v>81435.459999999992</v>
      </c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</row>
    <row r="5" spans="1:54">
      <c r="A5" s="30">
        <v>46031</v>
      </c>
      <c r="B5" s="30" t="s">
        <v>41</v>
      </c>
      <c r="C5" s="31" t="s">
        <v>26</v>
      </c>
      <c r="D5" s="30" t="s">
        <v>42</v>
      </c>
      <c r="E5" s="31">
        <v>1</v>
      </c>
      <c r="F5" s="32" t="s">
        <v>143</v>
      </c>
      <c r="G5" s="33">
        <v>15000</v>
      </c>
      <c r="H5" s="34"/>
      <c r="I5" s="34"/>
      <c r="J5" s="34"/>
      <c r="K5" s="33"/>
      <c r="L5" s="33">
        <f>G5</f>
        <v>15000</v>
      </c>
    </row>
    <row r="6" spans="1:54" s="165" customFormat="1">
      <c r="A6" s="161">
        <v>46024</v>
      </c>
      <c r="B6" s="161" t="s">
        <v>41</v>
      </c>
      <c r="C6" s="162" t="s">
        <v>147</v>
      </c>
      <c r="D6" s="161" t="s">
        <v>147</v>
      </c>
      <c r="E6" s="162">
        <v>1</v>
      </c>
      <c r="F6" s="163" t="s">
        <v>193</v>
      </c>
      <c r="G6" s="164">
        <f>33875.68+7114.1+7800</f>
        <v>48789.78</v>
      </c>
      <c r="H6" s="164"/>
      <c r="I6" s="164"/>
      <c r="J6" s="164"/>
      <c r="K6" s="164">
        <v>0</v>
      </c>
      <c r="L6" s="164"/>
      <c r="M6" s="166">
        <f>G6</f>
        <v>48789.78</v>
      </c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</row>
    <row r="7" spans="1:54" ht="15" thickBot="1">
      <c r="A7" s="47">
        <v>46030</v>
      </c>
      <c r="B7" s="48" t="s">
        <v>41</v>
      </c>
      <c r="C7" s="48" t="s">
        <v>32</v>
      </c>
      <c r="D7" s="47" t="s">
        <v>119</v>
      </c>
      <c r="E7" s="48">
        <v>2</v>
      </c>
      <c r="F7" s="49" t="s">
        <v>188</v>
      </c>
      <c r="G7" s="50">
        <v>39760</v>
      </c>
      <c r="H7" s="39"/>
      <c r="I7" s="39"/>
      <c r="J7" s="39"/>
      <c r="K7" s="50"/>
      <c r="L7" s="50">
        <v>39760</v>
      </c>
    </row>
    <row r="8" spans="1:54">
      <c r="A8" s="103">
        <v>46031</v>
      </c>
      <c r="B8" s="104" t="s">
        <v>41</v>
      </c>
      <c r="C8" s="105" t="s">
        <v>88</v>
      </c>
      <c r="D8" s="104" t="s">
        <v>89</v>
      </c>
      <c r="E8" s="105"/>
      <c r="F8" s="106" t="s">
        <v>194</v>
      </c>
      <c r="G8" s="107">
        <v>95000</v>
      </c>
      <c r="H8" s="107"/>
      <c r="I8" s="107"/>
      <c r="J8" s="107"/>
      <c r="K8" s="107"/>
      <c r="L8" s="108"/>
      <c r="M8" s="131">
        <f>G8</f>
        <v>95000</v>
      </c>
      <c r="N8" s="131"/>
    </row>
    <row r="9" spans="1:54" ht="15" thickBot="1">
      <c r="A9" s="109">
        <v>46031</v>
      </c>
      <c r="B9" s="110" t="s">
        <v>41</v>
      </c>
      <c r="C9" s="111" t="s">
        <v>88</v>
      </c>
      <c r="D9" s="110" t="s">
        <v>91</v>
      </c>
      <c r="E9" s="111"/>
      <c r="F9" s="112" t="s">
        <v>194</v>
      </c>
      <c r="G9" s="113">
        <v>95000</v>
      </c>
      <c r="H9" s="113"/>
      <c r="I9" s="113"/>
      <c r="J9" s="113"/>
      <c r="K9" s="113"/>
      <c r="L9" s="114"/>
      <c r="M9" s="131">
        <f>G9</f>
        <v>95000</v>
      </c>
    </row>
    <row r="10" spans="1:54">
      <c r="A10" s="47">
        <v>46036</v>
      </c>
      <c r="B10" s="48" t="s">
        <v>41</v>
      </c>
      <c r="C10" s="48" t="s">
        <v>32</v>
      </c>
      <c r="D10" s="47" t="s">
        <v>47</v>
      </c>
      <c r="E10" s="48">
        <v>2</v>
      </c>
      <c r="F10" s="49" t="s">
        <v>201</v>
      </c>
      <c r="G10" s="50">
        <v>51000</v>
      </c>
      <c r="H10" s="39"/>
      <c r="I10" s="39"/>
      <c r="J10" s="39"/>
      <c r="K10" s="50">
        <f>G10</f>
        <v>51000</v>
      </c>
      <c r="L10" s="50">
        <v>0</v>
      </c>
    </row>
    <row r="11" spans="1:54">
      <c r="A11" s="35">
        <v>46038</v>
      </c>
      <c r="B11" s="152" t="s">
        <v>41</v>
      </c>
      <c r="C11" s="152" t="s">
        <v>30</v>
      </c>
      <c r="D11" s="153" t="s">
        <v>33</v>
      </c>
      <c r="E11" s="152">
        <v>200</v>
      </c>
      <c r="F11" s="154" t="s">
        <v>180</v>
      </c>
      <c r="G11" s="158">
        <f>168.5*E11</f>
        <v>33700</v>
      </c>
      <c r="H11" s="156"/>
      <c r="I11" s="39"/>
      <c r="J11" s="39"/>
      <c r="K11" s="33"/>
      <c r="L11" s="33"/>
    </row>
    <row r="12" spans="1:54">
      <c r="A12" s="35">
        <v>46038</v>
      </c>
      <c r="B12" s="48" t="s">
        <v>41</v>
      </c>
      <c r="C12" s="151" t="s">
        <v>31</v>
      </c>
      <c r="D12" s="47" t="s">
        <v>33</v>
      </c>
      <c r="E12" s="48">
        <v>100</v>
      </c>
      <c r="F12" s="155" t="s">
        <v>187</v>
      </c>
      <c r="G12" s="159">
        <f>490*E12</f>
        <v>49000</v>
      </c>
      <c r="H12" s="157"/>
      <c r="I12" s="51"/>
      <c r="J12" s="51"/>
      <c r="K12" s="33"/>
      <c r="L12" s="33">
        <f>G11+G12</f>
        <v>82700</v>
      </c>
    </row>
    <row r="13" spans="1:54" s="165" customFormat="1">
      <c r="A13" s="161">
        <v>46038</v>
      </c>
      <c r="B13" s="161" t="s">
        <v>41</v>
      </c>
      <c r="C13" s="162" t="s">
        <v>147</v>
      </c>
      <c r="D13" s="161" t="s">
        <v>147</v>
      </c>
      <c r="E13" s="162">
        <v>1</v>
      </c>
      <c r="F13" s="163" t="s">
        <v>198</v>
      </c>
      <c r="G13" s="164">
        <f>23643.71+4465.34+28400-2380.17</f>
        <v>54128.880000000005</v>
      </c>
      <c r="H13" s="164"/>
      <c r="I13" s="164"/>
      <c r="J13" s="164"/>
      <c r="K13" s="164">
        <v>0</v>
      </c>
      <c r="L13" s="164"/>
      <c r="M13" s="166">
        <f>G13</f>
        <v>54128.880000000005</v>
      </c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</row>
    <row r="14" spans="1:54" ht="15" thickBot="1">
      <c r="A14" s="109">
        <v>46039</v>
      </c>
      <c r="B14" s="110" t="s">
        <v>41</v>
      </c>
      <c r="C14" s="111" t="s">
        <v>88</v>
      </c>
      <c r="D14" s="110" t="s">
        <v>91</v>
      </c>
      <c r="E14" s="111"/>
      <c r="F14" s="112" t="s">
        <v>194</v>
      </c>
      <c r="G14" s="113">
        <v>37750</v>
      </c>
      <c r="H14" s="113"/>
      <c r="I14" s="113"/>
      <c r="J14" s="113"/>
      <c r="K14" s="113"/>
      <c r="L14" s="114"/>
      <c r="M14" s="131">
        <f>G14</f>
        <v>37750</v>
      </c>
    </row>
    <row r="15" spans="1:54">
      <c r="A15" s="30">
        <v>46040</v>
      </c>
      <c r="B15" s="31" t="s">
        <v>41</v>
      </c>
      <c r="C15" s="31" t="s">
        <v>46</v>
      </c>
      <c r="D15" s="31" t="s">
        <v>56</v>
      </c>
      <c r="E15" s="31">
        <v>1</v>
      </c>
      <c r="F15" s="32" t="s">
        <v>199</v>
      </c>
      <c r="G15" s="33">
        <v>44580.74</v>
      </c>
      <c r="H15" s="33"/>
      <c r="I15" s="33"/>
      <c r="J15" s="33"/>
      <c r="K15" s="33"/>
      <c r="L15" s="33">
        <f>G15</f>
        <v>44580.74</v>
      </c>
    </row>
    <row r="16" spans="1:54">
      <c r="A16" s="35">
        <v>46042</v>
      </c>
      <c r="B16" s="152" t="s">
        <v>41</v>
      </c>
      <c r="C16" s="152" t="s">
        <v>30</v>
      </c>
      <c r="D16" s="153" t="s">
        <v>33</v>
      </c>
      <c r="E16" s="152">
        <v>200</v>
      </c>
      <c r="F16" s="154" t="s">
        <v>180</v>
      </c>
      <c r="G16" s="158">
        <f>168.5*E16</f>
        <v>33700</v>
      </c>
      <c r="H16" s="156"/>
      <c r="I16" s="39"/>
      <c r="J16" s="39"/>
      <c r="K16" s="33"/>
      <c r="L16" s="33"/>
    </row>
    <row r="17" spans="1:54">
      <c r="A17" s="35">
        <v>46042</v>
      </c>
      <c r="B17" s="48" t="s">
        <v>41</v>
      </c>
      <c r="C17" s="151" t="s">
        <v>31</v>
      </c>
      <c r="D17" s="47" t="s">
        <v>33</v>
      </c>
      <c r="E17" s="48">
        <v>200</v>
      </c>
      <c r="F17" s="155" t="s">
        <v>187</v>
      </c>
      <c r="G17" s="159">
        <f>490*E17</f>
        <v>98000</v>
      </c>
      <c r="H17" s="157"/>
      <c r="I17" s="51"/>
      <c r="J17" s="51"/>
      <c r="K17" s="33"/>
      <c r="L17" s="33">
        <f>G16+G17</f>
        <v>131700</v>
      </c>
    </row>
    <row r="18" spans="1:54" s="165" customFormat="1">
      <c r="A18" s="161">
        <v>46046</v>
      </c>
      <c r="B18" s="161" t="s">
        <v>41</v>
      </c>
      <c r="C18" s="162" t="s">
        <v>147</v>
      </c>
      <c r="D18" s="161" t="s">
        <v>147</v>
      </c>
      <c r="E18" s="162">
        <v>1</v>
      </c>
      <c r="F18" s="163" t="s">
        <v>200</v>
      </c>
      <c r="G18" s="164">
        <f>37677.19+7912.21+15600</f>
        <v>61189.4</v>
      </c>
      <c r="H18" s="164"/>
      <c r="I18" s="164"/>
      <c r="J18" s="164"/>
      <c r="K18" s="164">
        <v>0</v>
      </c>
      <c r="L18" s="164"/>
      <c r="M18" s="166">
        <f>G18</f>
        <v>61189.4</v>
      </c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</row>
    <row r="19" spans="1:54" ht="15" thickBot="1">
      <c r="A19" s="109">
        <v>46047</v>
      </c>
      <c r="B19" s="110" t="s">
        <v>41</v>
      </c>
      <c r="C19" s="111" t="s">
        <v>88</v>
      </c>
      <c r="D19" s="110" t="s">
        <v>91</v>
      </c>
      <c r="E19" s="111"/>
      <c r="F19" s="112" t="s">
        <v>194</v>
      </c>
      <c r="G19" s="113">
        <v>85310.6</v>
      </c>
      <c r="H19" s="113"/>
      <c r="I19" s="113"/>
      <c r="J19" s="113"/>
      <c r="K19" s="113"/>
      <c r="L19" s="114"/>
      <c r="M19" s="131">
        <f>G19</f>
        <v>85310.6</v>
      </c>
    </row>
    <row r="20" spans="1:54">
      <c r="A20" s="30">
        <v>46049</v>
      </c>
      <c r="B20" s="31" t="s">
        <v>41</v>
      </c>
      <c r="C20" s="31" t="s">
        <v>58</v>
      </c>
      <c r="D20" s="31" t="s">
        <v>59</v>
      </c>
      <c r="E20" s="31"/>
      <c r="F20" s="32" t="s">
        <v>202</v>
      </c>
      <c r="G20" s="33">
        <v>18000</v>
      </c>
      <c r="H20" s="33"/>
      <c r="I20" s="33"/>
      <c r="J20" s="33"/>
      <c r="K20" s="33"/>
      <c r="L20" s="33">
        <f>G20</f>
        <v>18000</v>
      </c>
    </row>
    <row r="21" spans="1:54">
      <c r="A21" s="47">
        <v>46049</v>
      </c>
      <c r="B21" s="48" t="s">
        <v>41</v>
      </c>
      <c r="C21" s="48" t="s">
        <v>32</v>
      </c>
      <c r="D21" s="47" t="s">
        <v>47</v>
      </c>
      <c r="E21" s="48">
        <v>2</v>
      </c>
      <c r="F21" s="49" t="s">
        <v>201</v>
      </c>
      <c r="G21" s="50">
        <v>51000</v>
      </c>
      <c r="H21" s="39"/>
      <c r="I21" s="39"/>
      <c r="J21" s="39"/>
      <c r="K21" s="50">
        <f>G21</f>
        <v>51000</v>
      </c>
      <c r="L21" s="50">
        <v>0</v>
      </c>
    </row>
    <row r="22" spans="1:54">
      <c r="A22" s="35">
        <v>46051</v>
      </c>
      <c r="B22" s="152" t="s">
        <v>41</v>
      </c>
      <c r="C22" s="152" t="s">
        <v>30</v>
      </c>
      <c r="D22" s="153" t="s">
        <v>33</v>
      </c>
      <c r="E22" s="152">
        <v>400</v>
      </c>
      <c r="F22" s="154" t="s">
        <v>180</v>
      </c>
      <c r="G22" s="158">
        <f>168.5*E22</f>
        <v>67400</v>
      </c>
      <c r="H22" s="156"/>
      <c r="I22" s="39"/>
      <c r="J22" s="39"/>
      <c r="K22" s="33"/>
      <c r="L22" s="33"/>
    </row>
    <row r="23" spans="1:54">
      <c r="A23" s="35">
        <v>46051</v>
      </c>
      <c r="B23" s="48" t="s">
        <v>41</v>
      </c>
      <c r="C23" s="151" t="s">
        <v>31</v>
      </c>
      <c r="D23" s="47" t="s">
        <v>33</v>
      </c>
      <c r="E23" s="48">
        <v>300</v>
      </c>
      <c r="F23" s="155" t="s">
        <v>187</v>
      </c>
      <c r="G23" s="159">
        <f>490*E23</f>
        <v>147000</v>
      </c>
      <c r="H23" s="157"/>
      <c r="I23" s="51"/>
      <c r="J23" s="51"/>
      <c r="K23" s="33">
        <f>G22+G23</f>
        <v>214400</v>
      </c>
    </row>
    <row r="24" spans="1:54">
      <c r="A24" s="30">
        <v>46051</v>
      </c>
      <c r="B24" s="42" t="s">
        <v>41</v>
      </c>
      <c r="C24" s="31" t="s">
        <v>38</v>
      </c>
      <c r="D24" s="30" t="s">
        <v>132</v>
      </c>
      <c r="E24" s="31">
        <v>3</v>
      </c>
      <c r="F24" s="32" t="s">
        <v>205</v>
      </c>
      <c r="G24" s="33">
        <f>9000*E24</f>
        <v>27000</v>
      </c>
      <c r="H24" s="34"/>
      <c r="I24" s="34"/>
      <c r="J24" s="34"/>
      <c r="K24" s="33"/>
      <c r="L24" s="33">
        <f>G24</f>
        <v>27000</v>
      </c>
    </row>
    <row r="25" spans="1:54" s="165" customFormat="1">
      <c r="A25" s="161">
        <v>46052</v>
      </c>
      <c r="B25" s="161" t="s">
        <v>41</v>
      </c>
      <c r="C25" s="162" t="s">
        <v>147</v>
      </c>
      <c r="D25" s="161" t="s">
        <v>147</v>
      </c>
      <c r="E25" s="162">
        <v>1</v>
      </c>
      <c r="F25" s="163" t="s">
        <v>206</v>
      </c>
      <c r="G25" s="164">
        <f>15068.25+3164.33</f>
        <v>18232.580000000002</v>
      </c>
      <c r="H25" s="164"/>
      <c r="I25" s="164"/>
      <c r="J25" s="164"/>
      <c r="K25" s="164">
        <v>0</v>
      </c>
      <c r="L25" s="164"/>
      <c r="M25" s="166">
        <f>G25</f>
        <v>18232.580000000002</v>
      </c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</row>
    <row r="26" spans="1:54" ht="15" thickBot="1">
      <c r="A26" s="109">
        <v>46052</v>
      </c>
      <c r="B26" s="110" t="s">
        <v>41</v>
      </c>
      <c r="C26" s="111" t="s">
        <v>88</v>
      </c>
      <c r="D26" s="110" t="s">
        <v>91</v>
      </c>
      <c r="E26" s="111"/>
      <c r="F26" s="112" t="s">
        <v>194</v>
      </c>
      <c r="G26" s="113">
        <v>39967.42</v>
      </c>
      <c r="H26" s="113"/>
      <c r="I26" s="113"/>
      <c r="J26" s="113"/>
      <c r="K26" s="113"/>
      <c r="L26" s="114"/>
      <c r="M26" s="131">
        <f>G26</f>
        <v>39967.42</v>
      </c>
    </row>
    <row r="27" spans="1:54" ht="15" thickBot="1">
      <c r="A27" s="109">
        <v>46053</v>
      </c>
      <c r="B27" s="110" t="s">
        <v>41</v>
      </c>
      <c r="C27" s="111" t="s">
        <v>88</v>
      </c>
      <c r="D27" s="110" t="s">
        <v>91</v>
      </c>
      <c r="E27" s="111"/>
      <c r="F27" s="112" t="s">
        <v>208</v>
      </c>
      <c r="G27" s="113">
        <f>K27+L27</f>
        <v>719050</v>
      </c>
      <c r="H27" s="113"/>
      <c r="I27" s="113"/>
      <c r="J27" s="113"/>
      <c r="K27" s="113">
        <v>481800</v>
      </c>
      <c r="L27" s="114">
        <v>237250</v>
      </c>
      <c r="M27" s="131"/>
    </row>
    <row r="28" spans="1:54">
      <c r="A28" s="35"/>
      <c r="B28" s="152"/>
      <c r="C28" s="152"/>
      <c r="D28" s="153"/>
      <c r="E28" s="152"/>
      <c r="F28" s="154"/>
      <c r="G28" s="158"/>
      <c r="H28" s="156"/>
      <c r="I28" s="39"/>
      <c r="J28" s="39"/>
      <c r="K28" s="33"/>
      <c r="L28" s="33"/>
      <c r="N28" s="131"/>
    </row>
    <row r="29" spans="1:54">
      <c r="A29" s="35"/>
      <c r="B29" s="226"/>
      <c r="C29" s="227"/>
      <c r="D29" s="150"/>
      <c r="E29" s="226"/>
      <c r="F29" s="155"/>
      <c r="G29" s="159"/>
      <c r="H29" s="157"/>
      <c r="I29" s="51"/>
      <c r="J29" s="51"/>
      <c r="K29" s="33"/>
      <c r="L29" s="33"/>
    </row>
    <row r="30" spans="1:54">
      <c r="A30" s="35"/>
      <c r="B30" s="226"/>
      <c r="C30" s="227"/>
      <c r="D30" s="150"/>
      <c r="E30" s="226"/>
      <c r="F30" s="155"/>
      <c r="G30" s="159">
        <f>G4+G5+G6+G7+G10+G11+G12+G12+G13+G15+G16+G17+G18+G20+G21+G22+G23+G24</f>
        <v>969684.26</v>
      </c>
      <c r="H30" s="157"/>
      <c r="I30" s="51"/>
      <c r="J30" s="51"/>
      <c r="K30" s="33"/>
      <c r="L30" s="33"/>
    </row>
    <row r="31" spans="1:54">
      <c r="A31" s="35"/>
      <c r="B31" s="226"/>
      <c r="C31" s="227"/>
      <c r="D31" s="150"/>
      <c r="E31" s="226"/>
      <c r="F31" s="155"/>
      <c r="G31" s="159"/>
      <c r="H31" s="157"/>
      <c r="I31" s="51"/>
      <c r="J31" s="51"/>
      <c r="K31" s="33"/>
      <c r="L31" s="33"/>
    </row>
    <row r="32" spans="1:54">
      <c r="A32" s="35"/>
      <c r="B32" s="226"/>
      <c r="C32" s="227"/>
      <c r="D32" s="150"/>
      <c r="E32" s="226"/>
      <c r="F32" s="155"/>
      <c r="G32" s="159"/>
      <c r="H32" s="157"/>
      <c r="I32" s="51"/>
      <c r="J32" s="51"/>
      <c r="K32" s="33"/>
      <c r="L32" s="33"/>
    </row>
    <row r="33" spans="1:12">
      <c r="A33" s="35"/>
      <c r="B33" s="226"/>
      <c r="C33" s="227"/>
      <c r="D33" s="150"/>
      <c r="E33" s="226"/>
      <c r="F33" s="155"/>
      <c r="G33" s="159"/>
      <c r="H33" s="157"/>
      <c r="I33" s="51"/>
      <c r="J33" s="51"/>
      <c r="K33" s="33"/>
      <c r="L33" s="33"/>
    </row>
    <row r="34" spans="1:12">
      <c r="A34" s="35"/>
      <c r="B34" s="226"/>
      <c r="C34" s="227"/>
      <c r="D34" s="150"/>
      <c r="E34" s="226"/>
      <c r="F34" s="155"/>
      <c r="G34" s="159"/>
      <c r="H34" s="157"/>
      <c r="I34" s="51"/>
      <c r="J34" s="51"/>
      <c r="K34" s="33"/>
      <c r="L34" s="33"/>
    </row>
    <row r="35" spans="1:12">
      <c r="A35" s="35"/>
      <c r="B35" s="226"/>
      <c r="C35" s="227"/>
      <c r="D35" s="150"/>
      <c r="E35" s="226"/>
      <c r="F35" s="155"/>
      <c r="G35" s="159"/>
      <c r="H35" s="157"/>
      <c r="I35" s="51"/>
      <c r="J35" s="51"/>
      <c r="K35" s="33"/>
      <c r="L35" s="33"/>
    </row>
    <row r="36" spans="1:12">
      <c r="A36" s="35"/>
      <c r="B36" s="226"/>
      <c r="C36" s="227"/>
      <c r="D36" s="150"/>
      <c r="E36" s="226"/>
      <c r="F36" s="155"/>
      <c r="G36" s="159"/>
      <c r="H36" s="157"/>
      <c r="I36" s="51"/>
      <c r="J36" s="51"/>
      <c r="K36" s="33"/>
      <c r="L36" s="33"/>
    </row>
    <row r="37" spans="1:12">
      <c r="A37" s="35"/>
      <c r="B37" s="226"/>
      <c r="C37" s="227"/>
      <c r="D37" s="150"/>
      <c r="E37" s="226"/>
      <c r="F37" s="155"/>
      <c r="G37" s="159"/>
      <c r="H37" s="157"/>
      <c r="I37" s="51"/>
      <c r="J37" s="51"/>
      <c r="K37" s="33"/>
      <c r="L37" s="33"/>
    </row>
    <row r="38" spans="1:12">
      <c r="A38" s="35"/>
      <c r="B38" s="226"/>
      <c r="C38" s="227"/>
      <c r="D38" s="150"/>
      <c r="E38" s="226"/>
      <c r="F38" s="155"/>
      <c r="G38" s="159"/>
      <c r="H38" s="157"/>
      <c r="I38" s="51"/>
      <c r="J38" s="51"/>
      <c r="K38" s="33"/>
      <c r="L38" s="33"/>
    </row>
    <row r="39" spans="1:12">
      <c r="A39" s="35"/>
      <c r="B39" s="226"/>
      <c r="C39" s="227"/>
      <c r="D39" s="150"/>
      <c r="E39" s="226"/>
      <c r="F39" s="155"/>
      <c r="G39" s="159"/>
      <c r="H39" s="157"/>
      <c r="I39" s="51"/>
      <c r="J39" s="51"/>
      <c r="K39" s="33"/>
      <c r="L39" s="33"/>
    </row>
    <row r="40" spans="1:12">
      <c r="A40" s="35"/>
      <c r="B40" s="226"/>
      <c r="C40" s="227"/>
      <c r="D40" s="150"/>
      <c r="E40" s="226"/>
      <c r="F40" s="155"/>
      <c r="G40" s="159"/>
      <c r="H40" s="157"/>
      <c r="I40" s="51"/>
      <c r="J40" s="51"/>
      <c r="K40" s="33"/>
      <c r="L40" s="33"/>
    </row>
    <row r="41" spans="1:12">
      <c r="A41" s="35"/>
      <c r="B41" s="226"/>
      <c r="C41" s="227"/>
      <c r="D41" s="150"/>
      <c r="E41" s="226"/>
      <c r="F41" s="155"/>
      <c r="G41" s="159"/>
      <c r="H41" s="157"/>
      <c r="I41" s="51"/>
      <c r="J41" s="51"/>
      <c r="K41" s="33"/>
      <c r="L41" s="33"/>
    </row>
    <row r="42" spans="1:12">
      <c r="A42" s="35"/>
      <c r="B42" s="226"/>
      <c r="C42" s="227"/>
      <c r="D42" s="150"/>
      <c r="E42" s="226"/>
      <c r="F42" s="155"/>
      <c r="G42" s="159"/>
      <c r="H42" s="157"/>
      <c r="I42" s="51"/>
      <c r="J42" s="51"/>
      <c r="K42" s="33"/>
      <c r="L42" s="33"/>
    </row>
    <row r="43" spans="1:12">
      <c r="A43" s="35"/>
      <c r="B43" s="226"/>
      <c r="C43" s="227"/>
      <c r="D43" s="150"/>
      <c r="E43" s="226"/>
      <c r="F43" s="155"/>
      <c r="G43" s="159"/>
      <c r="H43" s="157"/>
      <c r="I43" s="51"/>
      <c r="J43" s="51"/>
      <c r="K43" s="33"/>
      <c r="L43" s="33"/>
    </row>
    <row r="44" spans="1:12">
      <c r="A44" s="35"/>
      <c r="B44" s="226"/>
      <c r="C44" s="227"/>
      <c r="D44" s="150"/>
      <c r="E44" s="226"/>
      <c r="F44" s="155"/>
      <c r="G44" s="159"/>
      <c r="H44" s="157"/>
      <c r="I44" s="51"/>
      <c r="J44" s="51"/>
      <c r="K44" s="33"/>
      <c r="L44" s="33"/>
    </row>
    <row r="45" spans="1:12">
      <c r="A45" s="35"/>
      <c r="B45" s="226"/>
      <c r="C45" s="227"/>
      <c r="D45" s="150"/>
      <c r="E45" s="226"/>
      <c r="F45" s="155"/>
      <c r="G45" s="159"/>
      <c r="H45" s="157"/>
      <c r="I45" s="51"/>
      <c r="J45" s="51"/>
      <c r="K45" s="33"/>
      <c r="L45" s="33"/>
    </row>
    <row r="46" spans="1:12">
      <c r="A46" s="35"/>
      <c r="B46" s="226"/>
      <c r="C46" s="227"/>
      <c r="D46" s="150"/>
      <c r="E46" s="226"/>
      <c r="F46" s="155"/>
      <c r="G46" s="159"/>
      <c r="H46" s="157"/>
      <c r="I46" s="51"/>
      <c r="J46" s="51"/>
      <c r="K46" s="33"/>
      <c r="L46" s="33"/>
    </row>
    <row r="47" spans="1:12">
      <c r="A47" s="35"/>
      <c r="B47" s="226"/>
      <c r="C47" s="227"/>
      <c r="D47" s="150"/>
      <c r="E47" s="226"/>
      <c r="F47" s="155"/>
      <c r="G47" s="159"/>
      <c r="H47" s="157"/>
      <c r="I47" s="51"/>
      <c r="J47" s="51"/>
      <c r="K47" s="33"/>
      <c r="L47" s="33"/>
    </row>
    <row r="48" spans="1:12">
      <c r="A48" s="35"/>
      <c r="B48" s="226"/>
      <c r="C48" s="227"/>
      <c r="D48" s="150"/>
      <c r="E48" s="226"/>
      <c r="F48" s="155"/>
      <c r="G48" s="159"/>
      <c r="H48" s="157"/>
      <c r="I48" s="51"/>
      <c r="J48" s="51"/>
      <c r="K48" s="33"/>
      <c r="L48" s="33"/>
    </row>
    <row r="49" spans="1:12">
      <c r="A49" s="35"/>
      <c r="B49" s="226"/>
      <c r="C49" s="227"/>
      <c r="D49" s="150"/>
      <c r="E49" s="226"/>
      <c r="F49" s="155"/>
      <c r="G49" s="159"/>
      <c r="H49" s="157"/>
      <c r="I49" s="51"/>
      <c r="J49" s="51"/>
      <c r="K49" s="33"/>
      <c r="L49" s="33"/>
    </row>
    <row r="50" spans="1:12">
      <c r="A50" s="35"/>
      <c r="B50" s="226"/>
      <c r="C50" s="227"/>
      <c r="D50" s="150"/>
      <c r="E50" s="226"/>
      <c r="F50" s="155"/>
      <c r="G50" s="159"/>
      <c r="H50" s="157"/>
      <c r="I50" s="51"/>
      <c r="J50" s="51"/>
      <c r="K50" s="33"/>
      <c r="L50" s="33"/>
    </row>
    <row r="51" spans="1:12">
      <c r="A51" s="35"/>
      <c r="B51" s="226"/>
      <c r="C51" s="227"/>
      <c r="D51" s="150"/>
      <c r="E51" s="226"/>
      <c r="F51" s="155"/>
      <c r="G51" s="159"/>
      <c r="H51" s="157"/>
      <c r="I51" s="51"/>
      <c r="J51" s="51"/>
      <c r="K51" s="33"/>
      <c r="L51" s="33"/>
    </row>
    <row r="52" spans="1:12">
      <c r="A52" s="35"/>
      <c r="B52" s="226"/>
      <c r="C52" s="227"/>
      <c r="D52" s="150"/>
      <c r="E52" s="226"/>
      <c r="F52" s="155"/>
      <c r="G52" s="159"/>
      <c r="H52" s="157"/>
      <c r="I52" s="51"/>
      <c r="J52" s="51"/>
      <c r="K52" s="33"/>
      <c r="L52" s="33"/>
    </row>
    <row r="53" spans="1:12">
      <c r="A53" s="35"/>
      <c r="B53" s="226"/>
      <c r="C53" s="227"/>
      <c r="D53" s="150"/>
      <c r="E53" s="226"/>
      <c r="F53" s="155"/>
      <c r="G53" s="159"/>
      <c r="H53" s="157"/>
      <c r="I53" s="51"/>
      <c r="J53" s="51"/>
      <c r="K53" s="33"/>
      <c r="L53" s="33"/>
    </row>
    <row r="54" spans="1:12">
      <c r="A54" s="35"/>
      <c r="B54" s="226"/>
      <c r="C54" s="227"/>
      <c r="D54" s="150"/>
      <c r="E54" s="226"/>
      <c r="F54" s="155"/>
      <c r="G54" s="159"/>
      <c r="H54" s="157"/>
      <c r="I54" s="51"/>
      <c r="J54" s="51"/>
      <c r="K54" s="33"/>
      <c r="L54" s="33"/>
    </row>
    <row r="55" spans="1:12">
      <c r="A55" s="35"/>
      <c r="B55" s="226"/>
      <c r="C55" s="227"/>
      <c r="D55" s="150"/>
      <c r="E55" s="226"/>
      <c r="F55" s="155"/>
      <c r="G55" s="159"/>
      <c r="H55" s="157"/>
      <c r="I55" s="51"/>
      <c r="J55" s="51"/>
      <c r="K55" s="33"/>
      <c r="L55" s="33"/>
    </row>
    <row r="56" spans="1:12">
      <c r="A56" s="35"/>
      <c r="B56" s="226"/>
      <c r="C56" s="227"/>
      <c r="D56" s="150"/>
      <c r="E56" s="226"/>
      <c r="F56" s="155"/>
      <c r="G56" s="159"/>
      <c r="H56" s="157"/>
      <c r="I56" s="51"/>
      <c r="J56" s="51"/>
      <c r="K56" s="33"/>
      <c r="L56" s="33"/>
    </row>
    <row r="57" spans="1:12">
      <c r="A57" s="35"/>
      <c r="B57" s="226"/>
      <c r="C57" s="227"/>
      <c r="D57" s="150"/>
      <c r="E57" s="226"/>
      <c r="F57" s="155"/>
      <c r="G57" s="159"/>
      <c r="H57" s="157"/>
      <c r="I57" s="51"/>
      <c r="J57" s="51"/>
      <c r="K57" s="33"/>
      <c r="L57" s="33"/>
    </row>
    <row r="58" spans="1:12">
      <c r="A58" s="35"/>
      <c r="B58" s="226"/>
      <c r="C58" s="227"/>
      <c r="D58" s="150"/>
      <c r="E58" s="226"/>
      <c r="F58" s="155"/>
      <c r="G58" s="159"/>
      <c r="H58" s="157"/>
      <c r="I58" s="51"/>
      <c r="J58" s="51"/>
      <c r="K58" s="33"/>
      <c r="L58" s="33"/>
    </row>
    <row r="59" spans="1:12">
      <c r="A59" s="35"/>
      <c r="B59" s="226"/>
      <c r="C59" s="227"/>
      <c r="D59" s="150"/>
      <c r="E59" s="226"/>
      <c r="F59" s="155"/>
      <c r="G59" s="159"/>
      <c r="H59" s="157"/>
      <c r="I59" s="51"/>
      <c r="J59" s="51"/>
      <c r="K59" s="33"/>
      <c r="L59" s="33"/>
    </row>
    <row r="60" spans="1:12">
      <c r="A60" s="35"/>
      <c r="B60" s="226"/>
      <c r="C60" s="227"/>
      <c r="D60" s="150"/>
      <c r="E60" s="226"/>
      <c r="F60" s="155"/>
      <c r="G60" s="159"/>
      <c r="H60" s="157"/>
      <c r="I60" s="51"/>
      <c r="J60" s="51"/>
      <c r="K60" s="33"/>
      <c r="L60" s="33"/>
    </row>
    <row r="61" spans="1:12">
      <c r="A61" s="35">
        <v>45992</v>
      </c>
      <c r="B61" s="48" t="s">
        <v>41</v>
      </c>
      <c r="C61" s="151" t="s">
        <v>31</v>
      </c>
      <c r="D61" s="47" t="s">
        <v>33</v>
      </c>
      <c r="E61" s="48">
        <v>200</v>
      </c>
      <c r="F61" s="155" t="s">
        <v>181</v>
      </c>
      <c r="G61" s="159">
        <f>490*E61</f>
        <v>98000</v>
      </c>
      <c r="H61" s="157"/>
      <c r="I61" s="51"/>
      <c r="J61" s="51"/>
      <c r="K61" s="33">
        <f>G28+G61</f>
        <v>98000</v>
      </c>
      <c r="L61" s="33"/>
    </row>
    <row r="62" spans="1:12">
      <c r="A62" s="40">
        <v>45992</v>
      </c>
      <c r="B62" s="31" t="s">
        <v>41</v>
      </c>
      <c r="C62" s="42" t="s">
        <v>65</v>
      </c>
      <c r="D62" s="40" t="s">
        <v>112</v>
      </c>
      <c r="E62" s="42">
        <v>400</v>
      </c>
      <c r="F62" s="43" t="s">
        <v>182</v>
      </c>
      <c r="G62" s="33">
        <v>6470</v>
      </c>
      <c r="H62" s="44"/>
      <c r="I62" s="44"/>
      <c r="J62" s="44"/>
      <c r="K62" s="33"/>
      <c r="L62" s="50">
        <f>G62</f>
        <v>6470</v>
      </c>
    </row>
    <row r="63" spans="1:12">
      <c r="A63" s="47">
        <v>45995</v>
      </c>
      <c r="B63" s="48" t="s">
        <v>41</v>
      </c>
      <c r="C63" s="48" t="s">
        <v>32</v>
      </c>
      <c r="D63" s="47" t="s">
        <v>119</v>
      </c>
      <c r="E63" s="48">
        <v>1</v>
      </c>
      <c r="F63" s="49" t="s">
        <v>183</v>
      </c>
      <c r="G63" s="50">
        <v>44500</v>
      </c>
      <c r="H63" s="39"/>
      <c r="I63" s="39"/>
      <c r="J63" s="39"/>
      <c r="K63" s="50">
        <f>G63</f>
        <v>44500</v>
      </c>
      <c r="L63" s="50">
        <v>0</v>
      </c>
    </row>
    <row r="64" spans="1:12">
      <c r="A64" s="35">
        <v>46000</v>
      </c>
      <c r="B64" s="152" t="s">
        <v>41</v>
      </c>
      <c r="C64" s="152" t="s">
        <v>30</v>
      </c>
      <c r="D64" s="153" t="s">
        <v>33</v>
      </c>
      <c r="E64" s="152">
        <v>200</v>
      </c>
      <c r="F64" s="154" t="s">
        <v>180</v>
      </c>
      <c r="G64" s="158">
        <f>168.5*E64</f>
        <v>33700</v>
      </c>
      <c r="H64" s="156"/>
      <c r="I64" s="39"/>
      <c r="J64" s="39"/>
      <c r="K64" s="33">
        <f>G64</f>
        <v>33700</v>
      </c>
      <c r="L64" s="33"/>
    </row>
    <row r="65" spans="1:54" s="165" customFormat="1">
      <c r="A65" s="161">
        <v>46020</v>
      </c>
      <c r="B65" s="161" t="s">
        <v>41</v>
      </c>
      <c r="C65" s="162" t="s">
        <v>147</v>
      </c>
      <c r="D65" s="161" t="s">
        <v>147</v>
      </c>
      <c r="E65" s="162">
        <v>1</v>
      </c>
      <c r="F65" s="163" t="s">
        <v>184</v>
      </c>
      <c r="G65" s="164">
        <f>21827+2559.04+5121.07</f>
        <v>29507.11</v>
      </c>
      <c r="H65" s="164"/>
      <c r="I65" s="164"/>
      <c r="J65" s="164"/>
      <c r="K65" s="164">
        <v>0</v>
      </c>
      <c r="L65" s="164"/>
      <c r="M65" s="166">
        <f>G65</f>
        <v>29507.11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</row>
    <row r="66" spans="1:54">
      <c r="A66" s="47">
        <v>46000</v>
      </c>
      <c r="B66" s="48" t="s">
        <v>41</v>
      </c>
      <c r="C66" s="48" t="s">
        <v>32</v>
      </c>
      <c r="D66" s="47" t="s">
        <v>119</v>
      </c>
      <c r="E66" s="48">
        <v>1</v>
      </c>
      <c r="F66" s="49" t="s">
        <v>183</v>
      </c>
      <c r="G66" s="50">
        <v>44200</v>
      </c>
      <c r="H66" s="39"/>
      <c r="I66" s="39"/>
      <c r="J66" s="39"/>
      <c r="K66" s="50">
        <f>G66</f>
        <v>44200</v>
      </c>
      <c r="L66" s="50">
        <v>0</v>
      </c>
    </row>
    <row r="67" spans="1:54" s="165" customFormat="1">
      <c r="A67" s="161">
        <v>46020</v>
      </c>
      <c r="B67" s="161" t="s">
        <v>41</v>
      </c>
      <c r="C67" s="162" t="s">
        <v>147</v>
      </c>
      <c r="D67" s="161" t="s">
        <v>147</v>
      </c>
      <c r="E67" s="162">
        <v>1</v>
      </c>
      <c r="F67" s="163" t="s">
        <v>185</v>
      </c>
      <c r="G67" s="164">
        <f>29688.3+5539.28+22900-9239.74</f>
        <v>48887.840000000004</v>
      </c>
      <c r="H67" s="164"/>
      <c r="I67" s="164"/>
      <c r="J67" s="164"/>
      <c r="K67" s="164">
        <v>0</v>
      </c>
      <c r="L67" s="164"/>
      <c r="M67" s="166">
        <f>G67</f>
        <v>48887.840000000004</v>
      </c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</row>
    <row r="68" spans="1:54">
      <c r="A68" s="35">
        <v>46000</v>
      </c>
      <c r="B68" s="152" t="s">
        <v>41</v>
      </c>
      <c r="C68" s="152" t="s">
        <v>30</v>
      </c>
      <c r="D68" s="153" t="s">
        <v>33</v>
      </c>
      <c r="E68" s="152">
        <v>200</v>
      </c>
      <c r="F68" s="154" t="s">
        <v>186</v>
      </c>
      <c r="G68" s="158">
        <v>98000</v>
      </c>
      <c r="H68" s="156"/>
      <c r="I68" s="39"/>
      <c r="J68" s="39"/>
      <c r="K68" s="33">
        <f>G68</f>
        <v>98000</v>
      </c>
      <c r="L68" s="33"/>
    </row>
    <row r="69" spans="1:54">
      <c r="A69" s="30">
        <v>46004</v>
      </c>
      <c r="B69" s="30" t="s">
        <v>41</v>
      </c>
      <c r="C69" s="31" t="s">
        <v>26</v>
      </c>
      <c r="D69" s="30" t="s">
        <v>42</v>
      </c>
      <c r="E69" s="31">
        <v>1</v>
      </c>
      <c r="F69" s="32" t="s">
        <v>143</v>
      </c>
      <c r="G69" s="33">
        <v>15000</v>
      </c>
      <c r="H69" s="34"/>
      <c r="I69" s="34"/>
      <c r="J69" s="34"/>
      <c r="K69" s="33"/>
      <c r="L69" s="33">
        <f>G69</f>
        <v>15000</v>
      </c>
    </row>
    <row r="70" spans="1:54">
      <c r="A70" s="35">
        <v>46007</v>
      </c>
      <c r="B70" s="152" t="s">
        <v>41</v>
      </c>
      <c r="C70" s="152" t="s">
        <v>30</v>
      </c>
      <c r="D70" s="153" t="s">
        <v>33</v>
      </c>
      <c r="E70" s="152">
        <v>200</v>
      </c>
      <c r="F70" s="154" t="s">
        <v>180</v>
      </c>
      <c r="G70" s="158">
        <f>168.5*E70</f>
        <v>33700</v>
      </c>
      <c r="H70" s="156"/>
      <c r="I70" s="39"/>
      <c r="J70" s="39"/>
      <c r="K70" s="33"/>
      <c r="L70" s="33"/>
    </row>
    <row r="71" spans="1:54">
      <c r="A71" s="35">
        <v>46007</v>
      </c>
      <c r="B71" s="48" t="s">
        <v>41</v>
      </c>
      <c r="C71" s="151" t="s">
        <v>31</v>
      </c>
      <c r="D71" s="47" t="s">
        <v>33</v>
      </c>
      <c r="E71" s="48">
        <v>100</v>
      </c>
      <c r="F71" s="155" t="s">
        <v>187</v>
      </c>
      <c r="G71" s="159">
        <v>24500</v>
      </c>
      <c r="H71" s="157"/>
      <c r="I71" s="51"/>
      <c r="J71" s="51"/>
      <c r="K71" s="33">
        <f>G70+G71</f>
        <v>58200</v>
      </c>
      <c r="L71" s="33"/>
    </row>
    <row r="72" spans="1:54">
      <c r="A72" s="47">
        <v>46010</v>
      </c>
      <c r="B72" s="48" t="s">
        <v>41</v>
      </c>
      <c r="C72" s="48" t="s">
        <v>32</v>
      </c>
      <c r="D72" s="47" t="s">
        <v>47</v>
      </c>
      <c r="E72" s="48">
        <v>2</v>
      </c>
      <c r="F72" s="49" t="s">
        <v>188</v>
      </c>
      <c r="G72" s="50">
        <f>25500*2</f>
        <v>51000</v>
      </c>
      <c r="H72" s="39"/>
      <c r="I72" s="39"/>
      <c r="J72" s="39"/>
      <c r="K72" s="50">
        <f>G72</f>
        <v>51000</v>
      </c>
      <c r="L72" s="50">
        <v>0</v>
      </c>
    </row>
    <row r="73" spans="1:54" s="165" customFormat="1">
      <c r="A73" s="161">
        <v>46010</v>
      </c>
      <c r="B73" s="161" t="s">
        <v>41</v>
      </c>
      <c r="C73" s="162" t="s">
        <v>147</v>
      </c>
      <c r="D73" s="161" t="s">
        <v>147</v>
      </c>
      <c r="E73" s="162">
        <v>1</v>
      </c>
      <c r="F73" s="163" t="s">
        <v>189</v>
      </c>
      <c r="G73" s="164">
        <f>31961.12+6711.84</f>
        <v>38672.959999999999</v>
      </c>
      <c r="H73" s="164"/>
      <c r="I73" s="164"/>
      <c r="J73" s="164"/>
      <c r="K73" s="164">
        <v>0</v>
      </c>
      <c r="L73" s="164"/>
      <c r="M73" s="166">
        <f>G73</f>
        <v>38672.959999999999</v>
      </c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</row>
    <row r="74" spans="1:54">
      <c r="A74" s="30">
        <v>45941</v>
      </c>
      <c r="B74" s="31" t="s">
        <v>41</v>
      </c>
      <c r="C74" s="31" t="s">
        <v>46</v>
      </c>
      <c r="D74" s="31" t="s">
        <v>56</v>
      </c>
      <c r="E74" s="31">
        <v>1</v>
      </c>
      <c r="F74" s="32" t="s">
        <v>162</v>
      </c>
      <c r="G74" s="33">
        <v>44580.74</v>
      </c>
      <c r="H74" s="33"/>
      <c r="I74" s="33"/>
      <c r="J74" s="33"/>
      <c r="K74" s="33"/>
      <c r="L74" s="33">
        <f>G74</f>
        <v>44580.74</v>
      </c>
    </row>
    <row r="75" spans="1:54">
      <c r="A75" s="30">
        <v>46011</v>
      </c>
      <c r="B75" s="42" t="s">
        <v>41</v>
      </c>
      <c r="C75" s="31" t="s">
        <v>38</v>
      </c>
      <c r="D75" s="30" t="s">
        <v>132</v>
      </c>
      <c r="E75" s="31">
        <v>2</v>
      </c>
      <c r="F75" s="32" t="s">
        <v>190</v>
      </c>
      <c r="G75" s="33">
        <f>9000*2</f>
        <v>18000</v>
      </c>
      <c r="H75" s="34"/>
      <c r="I75" s="34"/>
      <c r="J75" s="34"/>
      <c r="K75" s="33">
        <f>G75</f>
        <v>18000</v>
      </c>
      <c r="L75" s="33"/>
    </row>
    <row r="76" spans="1:54">
      <c r="A76" s="30">
        <v>46012</v>
      </c>
      <c r="B76" s="31" t="s">
        <v>41</v>
      </c>
      <c r="C76" s="31" t="s">
        <v>58</v>
      </c>
      <c r="D76" s="31" t="s">
        <v>59</v>
      </c>
      <c r="E76" s="31"/>
      <c r="F76" s="32" t="s">
        <v>165</v>
      </c>
      <c r="G76" s="33">
        <v>16000</v>
      </c>
      <c r="H76" s="33"/>
      <c r="I76" s="33"/>
      <c r="J76" s="33"/>
      <c r="K76" s="33">
        <f>G76</f>
        <v>16000</v>
      </c>
      <c r="L76" s="33"/>
    </row>
    <row r="77" spans="1:54">
      <c r="A77" s="35">
        <v>45992</v>
      </c>
      <c r="B77" s="152" t="s">
        <v>41</v>
      </c>
      <c r="C77" s="152" t="s">
        <v>30</v>
      </c>
      <c r="D77" s="153" t="s">
        <v>33</v>
      </c>
      <c r="E77" s="152">
        <v>200</v>
      </c>
      <c r="F77" s="154" t="s">
        <v>180</v>
      </c>
      <c r="G77" s="158">
        <f>168.5*E77</f>
        <v>33700</v>
      </c>
      <c r="H77" s="156"/>
      <c r="I77" s="39"/>
      <c r="J77" s="39"/>
      <c r="K77" s="33"/>
      <c r="L77" s="33"/>
    </row>
    <row r="78" spans="1:54">
      <c r="A78" s="35">
        <v>45992</v>
      </c>
      <c r="B78" s="48" t="s">
        <v>41</v>
      </c>
      <c r="C78" s="151" t="s">
        <v>31</v>
      </c>
      <c r="D78" s="47" t="s">
        <v>33</v>
      </c>
      <c r="E78" s="48">
        <v>100</v>
      </c>
      <c r="F78" s="155" t="s">
        <v>187</v>
      </c>
      <c r="G78" s="159">
        <v>24500</v>
      </c>
      <c r="H78" s="157"/>
      <c r="I78" s="51"/>
      <c r="J78" s="51"/>
      <c r="K78" s="33">
        <f>G77+G78</f>
        <v>58200</v>
      </c>
      <c r="L78" s="33"/>
    </row>
    <row r="79" spans="1:54" s="165" customFormat="1" ht="15" thickBot="1">
      <c r="A79" s="161">
        <v>46017</v>
      </c>
      <c r="B79" s="161" t="s">
        <v>41</v>
      </c>
      <c r="C79" s="162" t="s">
        <v>147</v>
      </c>
      <c r="D79" s="161" t="s">
        <v>147</v>
      </c>
      <c r="E79" s="162">
        <v>1</v>
      </c>
      <c r="F79" s="163" t="s">
        <v>191</v>
      </c>
      <c r="G79" s="164">
        <f>62064.57+12576.59+58700-2176.06</f>
        <v>131165.1</v>
      </c>
      <c r="H79" s="164"/>
      <c r="I79" s="164"/>
      <c r="J79" s="164"/>
      <c r="K79" s="164">
        <v>0</v>
      </c>
      <c r="L79" s="164"/>
      <c r="M79" s="166">
        <f>G79</f>
        <v>131165.1</v>
      </c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</row>
    <row r="80" spans="1:54">
      <c r="A80" s="103">
        <v>45945</v>
      </c>
      <c r="B80" s="104" t="s">
        <v>41</v>
      </c>
      <c r="C80" s="105" t="s">
        <v>88</v>
      </c>
      <c r="D80" s="104" t="s">
        <v>89</v>
      </c>
      <c r="E80" s="105"/>
      <c r="F80" s="106" t="s">
        <v>156</v>
      </c>
      <c r="G80" s="107">
        <v>450000</v>
      </c>
      <c r="H80" s="107"/>
      <c r="I80" s="107"/>
      <c r="J80" s="107"/>
      <c r="K80" s="107">
        <v>183000</v>
      </c>
      <c r="L80" s="108"/>
      <c r="M80" s="131">
        <f>G80-K80</f>
        <v>267000</v>
      </c>
      <c r="N80" s="131"/>
    </row>
    <row r="81" spans="1:54" ht="15" thickBot="1">
      <c r="A81" s="109">
        <v>45945</v>
      </c>
      <c r="B81" s="110" t="s">
        <v>41</v>
      </c>
      <c r="C81" s="111" t="s">
        <v>88</v>
      </c>
      <c r="D81" s="110" t="s">
        <v>91</v>
      </c>
      <c r="E81" s="111"/>
      <c r="F81" s="112" t="s">
        <v>157</v>
      </c>
      <c r="G81" s="113">
        <v>450000</v>
      </c>
      <c r="H81" s="113"/>
      <c r="I81" s="113"/>
      <c r="J81" s="113"/>
      <c r="K81" s="113">
        <v>100000</v>
      </c>
      <c r="L81" s="114">
        <v>290000</v>
      </c>
      <c r="M81" s="131">
        <f>G81-K81-L81</f>
        <v>60000</v>
      </c>
    </row>
    <row r="82" spans="1:54">
      <c r="A82" s="47"/>
      <c r="B82" s="48"/>
      <c r="C82" s="31"/>
      <c r="D82" s="30"/>
      <c r="E82" s="31"/>
      <c r="F82" s="32"/>
      <c r="G82" s="50"/>
      <c r="H82" s="39"/>
      <c r="I82" s="39"/>
      <c r="J82" s="39"/>
      <c r="K82" s="50">
        <f>G82</f>
        <v>0</v>
      </c>
      <c r="L82" s="50"/>
    </row>
    <row r="83" spans="1:54">
      <c r="A83" s="47"/>
      <c r="B83" s="48"/>
      <c r="C83" s="31"/>
      <c r="D83" s="30"/>
      <c r="E83" s="31"/>
      <c r="F83" s="32"/>
      <c r="G83" s="50"/>
      <c r="H83" s="39"/>
      <c r="I83" s="39"/>
      <c r="J83" s="39"/>
      <c r="K83" s="50"/>
      <c r="L83" s="50"/>
    </row>
    <row r="84" spans="1:54">
      <c r="A84" s="47"/>
      <c r="B84" s="48"/>
      <c r="C84" s="31"/>
      <c r="D84" s="30"/>
      <c r="E84" s="31"/>
      <c r="F84" s="32"/>
      <c r="G84" s="131">
        <f>G28+G61+G62+G63+G64+G65+G66+G67+G68+G69+G70+G71+G72+G73+G74+G75+G76+G77+G78+G79</f>
        <v>834083.74999999988</v>
      </c>
      <c r="H84" s="39"/>
      <c r="I84" s="39"/>
      <c r="J84" s="39"/>
      <c r="K84" s="50"/>
      <c r="L84" s="50"/>
      <c r="M84" s="131"/>
    </row>
    <row r="85" spans="1:54">
      <c r="A85" s="47"/>
      <c r="B85" s="48"/>
      <c r="C85" s="31"/>
      <c r="D85" s="30"/>
      <c r="E85" s="31"/>
      <c r="F85" s="32"/>
      <c r="G85" s="50"/>
      <c r="H85" s="39"/>
      <c r="I85" s="39"/>
      <c r="J85" s="39"/>
      <c r="K85" s="50"/>
      <c r="L85" s="50"/>
    </row>
    <row r="86" spans="1:54">
      <c r="A86" s="47"/>
      <c r="B86" s="48"/>
      <c r="C86" s="31"/>
      <c r="D86" s="30"/>
      <c r="E86" s="31"/>
      <c r="F86" s="32"/>
      <c r="G86" s="50"/>
      <c r="H86" s="39"/>
      <c r="I86" s="39"/>
      <c r="J86" s="39"/>
      <c r="K86" s="50"/>
      <c r="L86" s="50"/>
    </row>
    <row r="87" spans="1:54">
      <c r="A87" s="47"/>
      <c r="B87" s="48"/>
      <c r="C87" s="31"/>
      <c r="D87" s="30"/>
      <c r="E87" s="31"/>
      <c r="F87" s="32"/>
      <c r="G87" s="50"/>
      <c r="H87" s="39"/>
      <c r="I87" s="39"/>
      <c r="J87" s="39"/>
      <c r="K87" s="50"/>
      <c r="L87" s="50"/>
    </row>
    <row r="88" spans="1:54">
      <c r="A88" s="47"/>
      <c r="B88" s="48"/>
      <c r="C88" s="31"/>
      <c r="D88" s="30"/>
      <c r="E88" s="31"/>
      <c r="F88" s="32"/>
      <c r="G88" s="50"/>
      <c r="H88" s="39"/>
      <c r="I88" s="39"/>
      <c r="J88" s="39"/>
      <c r="K88" s="50"/>
      <c r="L88" s="50"/>
    </row>
    <row r="89" spans="1:54" s="165" customFormat="1">
      <c r="A89" s="161"/>
      <c r="B89" s="161"/>
      <c r="C89" s="162"/>
      <c r="D89" s="161"/>
      <c r="E89" s="162"/>
      <c r="F89" s="163"/>
      <c r="G89" s="164"/>
      <c r="H89" s="164"/>
      <c r="I89" s="164"/>
      <c r="J89" s="164"/>
      <c r="K89" s="164"/>
      <c r="L89" s="164"/>
      <c r="M89" s="166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</row>
    <row r="90" spans="1:54" ht="15" thickBot="1">
      <c r="A90" s="35"/>
      <c r="B90" s="152"/>
      <c r="C90" s="152"/>
      <c r="D90" s="153"/>
      <c r="E90" s="152"/>
      <c r="F90" s="154"/>
      <c r="G90" s="158"/>
      <c r="H90" s="156"/>
      <c r="I90" s="39"/>
      <c r="J90" s="39"/>
      <c r="K90" s="33"/>
      <c r="L90" s="33"/>
    </row>
    <row r="91" spans="1:54">
      <c r="A91" s="103"/>
      <c r="B91" s="104"/>
      <c r="C91" s="105"/>
      <c r="D91" s="104"/>
      <c r="E91" s="105"/>
      <c r="F91" s="106"/>
      <c r="G91" s="107"/>
      <c r="H91" s="107"/>
      <c r="I91" s="107"/>
      <c r="J91" s="107"/>
      <c r="K91" s="107"/>
      <c r="L91" s="108"/>
      <c r="M91" s="205"/>
    </row>
    <row r="92" spans="1:54" ht="15" thickBot="1">
      <c r="A92" s="109"/>
      <c r="B92" s="110"/>
      <c r="C92" s="111"/>
      <c r="D92" s="110"/>
      <c r="E92" s="111"/>
      <c r="F92" s="112"/>
      <c r="G92" s="113"/>
      <c r="H92" s="113"/>
      <c r="I92" s="113"/>
      <c r="J92" s="113"/>
      <c r="K92" s="113"/>
      <c r="L92" s="114"/>
      <c r="M92" s="206"/>
    </row>
    <row r="93" spans="1:54">
      <c r="A93" s="30"/>
      <c r="B93" s="30"/>
      <c r="C93" s="31"/>
      <c r="D93" s="30"/>
      <c r="E93" s="31"/>
      <c r="F93" s="32"/>
      <c r="G93" s="33"/>
      <c r="H93" s="34"/>
      <c r="I93" s="34"/>
      <c r="J93" s="34"/>
      <c r="K93" s="33"/>
      <c r="L93" s="33"/>
    </row>
    <row r="94" spans="1:54" s="165" customFormat="1">
      <c r="A94" s="161"/>
      <c r="B94" s="161"/>
      <c r="C94" s="162"/>
      <c r="D94" s="161"/>
      <c r="E94" s="162"/>
      <c r="F94" s="163"/>
      <c r="G94" s="164"/>
      <c r="H94" s="164"/>
      <c r="I94" s="164"/>
      <c r="J94" s="164"/>
      <c r="K94" s="164"/>
      <c r="L94" s="164"/>
      <c r="M94" s="166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  <c r="AP94" s="167"/>
      <c r="AQ94" s="167"/>
      <c r="AR94" s="167"/>
      <c r="AS94" s="167"/>
      <c r="AT94" s="167"/>
      <c r="AU94" s="167"/>
      <c r="AV94" s="167"/>
      <c r="AW94" s="167"/>
      <c r="AX94" s="167"/>
      <c r="AY94" s="167"/>
      <c r="AZ94" s="167"/>
      <c r="BA94" s="167"/>
      <c r="BB94" s="167"/>
    </row>
    <row r="95" spans="1:54">
      <c r="A95" s="35"/>
      <c r="B95" s="152"/>
      <c r="C95" s="152"/>
      <c r="D95" s="153"/>
      <c r="E95" s="152"/>
      <c r="F95" s="154"/>
      <c r="G95" s="158"/>
      <c r="H95" s="156"/>
      <c r="I95" s="39"/>
      <c r="J95" s="39"/>
      <c r="K95" s="33"/>
      <c r="L95" s="33"/>
    </row>
    <row r="96" spans="1:54">
      <c r="A96" s="35"/>
      <c r="B96" s="48"/>
      <c r="C96" s="151"/>
      <c r="D96" s="47"/>
      <c r="E96" s="48"/>
      <c r="F96" s="155"/>
      <c r="G96" s="159"/>
      <c r="H96" s="157"/>
      <c r="I96" s="51"/>
      <c r="J96" s="51"/>
      <c r="K96" s="33"/>
      <c r="L96" s="33"/>
    </row>
    <row r="97" spans="1:54">
      <c r="A97" s="35"/>
      <c r="B97" s="48"/>
      <c r="C97" s="151"/>
      <c r="D97" s="47"/>
      <c r="E97" s="48"/>
      <c r="F97" s="155"/>
      <c r="G97" s="159"/>
      <c r="H97" s="157"/>
      <c r="I97" s="51"/>
      <c r="J97" s="51"/>
      <c r="K97" s="33"/>
      <c r="L97" s="33"/>
    </row>
    <row r="98" spans="1:54">
      <c r="A98" s="40"/>
      <c r="B98" s="31"/>
      <c r="C98" s="42"/>
      <c r="D98" s="40"/>
      <c r="E98" s="42"/>
      <c r="F98" s="43"/>
      <c r="G98" s="33"/>
      <c r="H98" s="44"/>
      <c r="I98" s="44"/>
      <c r="J98" s="44"/>
      <c r="K98" s="33"/>
      <c r="L98" s="50"/>
    </row>
    <row r="99" spans="1:54">
      <c r="A99" s="30"/>
      <c r="B99" s="31"/>
      <c r="C99" s="31"/>
      <c r="D99" s="31"/>
      <c r="E99" s="31"/>
      <c r="F99" s="32"/>
      <c r="G99" s="33"/>
      <c r="H99" s="33"/>
      <c r="I99" s="33"/>
      <c r="J99" s="33"/>
      <c r="K99" s="33"/>
      <c r="L99" s="33"/>
    </row>
    <row r="100" spans="1:54">
      <c r="A100" s="30"/>
      <c r="B100" s="30"/>
      <c r="C100" s="31"/>
      <c r="D100" s="30"/>
      <c r="E100" s="31"/>
      <c r="F100" s="32"/>
      <c r="G100" s="33"/>
      <c r="H100" s="34"/>
      <c r="I100" s="34"/>
      <c r="J100" s="34"/>
      <c r="K100" s="33"/>
      <c r="L100" s="33"/>
    </row>
    <row r="101" spans="1:54">
      <c r="A101" s="47"/>
      <c r="B101" s="48"/>
      <c r="C101" s="31"/>
      <c r="D101" s="30"/>
      <c r="E101" s="31"/>
      <c r="F101" s="32"/>
      <c r="G101" s="50"/>
      <c r="H101" s="39"/>
      <c r="I101" s="39"/>
      <c r="J101" s="39"/>
      <c r="K101" s="33"/>
      <c r="L101" s="50"/>
      <c r="M101" s="131"/>
    </row>
    <row r="102" spans="1:54" s="165" customFormat="1">
      <c r="A102" s="161"/>
      <c r="B102" s="161"/>
      <c r="C102" s="162"/>
      <c r="D102" s="161"/>
      <c r="E102" s="162"/>
      <c r="F102" s="163"/>
      <c r="G102" s="164"/>
      <c r="H102" s="164"/>
      <c r="I102" s="164"/>
      <c r="J102" s="164"/>
      <c r="K102" s="164"/>
      <c r="L102" s="164"/>
      <c r="M102" s="166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7"/>
      <c r="AV102" s="167"/>
      <c r="AW102" s="167"/>
      <c r="AX102" s="167"/>
      <c r="AY102" s="167"/>
      <c r="AZ102" s="167"/>
      <c r="BA102" s="167"/>
      <c r="BB102" s="167"/>
    </row>
    <row r="103" spans="1:54">
      <c r="A103" s="30"/>
      <c r="B103" s="31"/>
      <c r="C103" s="31"/>
      <c r="D103" s="31"/>
      <c r="E103" s="31"/>
      <c r="F103" s="32"/>
      <c r="G103" s="33"/>
      <c r="H103" s="33"/>
      <c r="I103" s="33"/>
      <c r="J103" s="33"/>
      <c r="K103" s="33"/>
      <c r="L103" s="33"/>
    </row>
    <row r="104" spans="1:54">
      <c r="A104" s="40"/>
      <c r="B104" s="31"/>
      <c r="C104" s="42"/>
      <c r="D104" s="40"/>
      <c r="E104" s="42"/>
      <c r="F104" s="43"/>
      <c r="G104" s="33"/>
      <c r="H104" s="44"/>
      <c r="I104" s="44"/>
      <c r="J104" s="44"/>
      <c r="K104" s="33"/>
      <c r="L104" s="50"/>
    </row>
    <row r="105" spans="1:54">
      <c r="A105" s="40"/>
      <c r="B105" s="31"/>
      <c r="C105" s="42"/>
      <c r="D105" s="40"/>
      <c r="E105" s="42"/>
      <c r="F105" s="43"/>
      <c r="G105" s="33"/>
      <c r="H105" s="44"/>
      <c r="I105" s="44"/>
      <c r="J105" s="44"/>
      <c r="K105" s="33"/>
      <c r="L105" s="40"/>
    </row>
    <row r="106" spans="1:54">
      <c r="A106" s="47"/>
      <c r="B106" s="48"/>
      <c r="C106" s="31"/>
      <c r="D106" s="30"/>
      <c r="E106" s="31"/>
      <c r="F106" s="32"/>
      <c r="G106" s="50"/>
      <c r="H106" s="39"/>
      <c r="I106" s="39"/>
      <c r="J106" s="39"/>
      <c r="K106" s="50"/>
      <c r="L106" s="50"/>
    </row>
    <row r="107" spans="1:54" s="165" customFormat="1">
      <c r="A107" s="161"/>
      <c r="B107" s="161"/>
      <c r="C107" s="162"/>
      <c r="D107" s="161"/>
      <c r="E107" s="162"/>
      <c r="F107" s="163"/>
      <c r="G107" s="164"/>
      <c r="H107" s="164"/>
      <c r="I107" s="164"/>
      <c r="J107" s="164"/>
      <c r="K107" s="164"/>
      <c r="L107" s="164"/>
      <c r="M107" s="166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  <c r="AP107" s="167"/>
      <c r="AQ107" s="167"/>
      <c r="AR107" s="167"/>
      <c r="AS107" s="167"/>
      <c r="AT107" s="167"/>
      <c r="AU107" s="167"/>
      <c r="AV107" s="167"/>
      <c r="AW107" s="167"/>
      <c r="AX107" s="167"/>
      <c r="AY107" s="167"/>
      <c r="AZ107" s="167"/>
      <c r="BA107" s="167"/>
      <c r="BB107" s="167"/>
    </row>
    <row r="108" spans="1:54">
      <c r="A108" s="35"/>
      <c r="B108" s="152"/>
      <c r="C108" s="152"/>
      <c r="D108" s="153"/>
      <c r="E108" s="152"/>
      <c r="F108" s="154"/>
      <c r="G108" s="158"/>
      <c r="H108" s="156"/>
      <c r="I108" s="39"/>
      <c r="J108" s="39"/>
      <c r="K108" s="33"/>
      <c r="L108" s="33"/>
    </row>
    <row r="109" spans="1:54" ht="15" thickBot="1">
      <c r="A109" s="35"/>
      <c r="B109" s="152"/>
      <c r="C109" s="152"/>
      <c r="D109" s="153"/>
      <c r="E109" s="152"/>
      <c r="F109" s="154"/>
      <c r="G109" s="158"/>
      <c r="H109" s="156"/>
      <c r="I109" s="39"/>
      <c r="J109" s="39"/>
      <c r="K109" s="33"/>
      <c r="L109" s="33"/>
    </row>
    <row r="110" spans="1:54">
      <c r="A110" s="103"/>
      <c r="B110" s="104"/>
      <c r="C110" s="105"/>
      <c r="D110" s="104"/>
      <c r="E110" s="105"/>
      <c r="F110" s="106"/>
      <c r="G110" s="107"/>
      <c r="H110" s="107"/>
      <c r="I110" s="107"/>
      <c r="J110" s="107"/>
      <c r="K110" s="107"/>
      <c r="L110" s="108"/>
      <c r="M110" s="205"/>
    </row>
    <row r="111" spans="1:54" ht="15" thickBot="1">
      <c r="A111" s="109"/>
      <c r="B111" s="110"/>
      <c r="C111" s="111"/>
      <c r="D111" s="110"/>
      <c r="E111" s="111"/>
      <c r="F111" s="112"/>
      <c r="G111" s="113"/>
      <c r="H111" s="113"/>
      <c r="I111" s="113"/>
      <c r="J111" s="113"/>
      <c r="K111" s="113"/>
      <c r="L111" s="114"/>
      <c r="M111" s="206"/>
    </row>
    <row r="112" spans="1:54" s="190" customFormat="1">
      <c r="A112" s="186"/>
      <c r="B112" s="186"/>
      <c r="C112" s="186"/>
      <c r="D112" s="186"/>
      <c r="E112" s="186"/>
      <c r="F112" s="186"/>
      <c r="G112" s="186"/>
      <c r="H112" s="187"/>
      <c r="I112" s="187"/>
      <c r="J112" s="187"/>
      <c r="K112" s="188"/>
      <c r="L112" s="187"/>
      <c r="M112" s="200"/>
    </row>
    <row r="113" spans="1:13" s="190" customFormat="1">
      <c r="A113" s="186"/>
      <c r="B113" s="186"/>
      <c r="C113" s="186"/>
      <c r="D113" s="186"/>
      <c r="E113" s="186"/>
      <c r="F113" s="186"/>
      <c r="G113" s="186"/>
      <c r="H113" s="187"/>
      <c r="I113" s="187"/>
      <c r="J113" s="187"/>
      <c r="K113" s="188"/>
      <c r="L113" s="191"/>
      <c r="M113" s="200"/>
    </row>
    <row r="114" spans="1:13" s="190" customFormat="1">
      <c r="A114" s="186"/>
      <c r="B114" s="186"/>
      <c r="C114" s="186"/>
      <c r="D114" s="186"/>
      <c r="E114" s="186"/>
      <c r="F114" s="186"/>
      <c r="G114" s="186"/>
      <c r="H114" s="187"/>
      <c r="I114" s="187"/>
      <c r="J114" s="187"/>
      <c r="K114" s="188"/>
      <c r="L114" s="191"/>
      <c r="M114" s="189"/>
    </row>
    <row r="115" spans="1:13" s="190" customFormat="1">
      <c r="A115" s="186"/>
      <c r="B115" s="186"/>
      <c r="C115" s="186"/>
      <c r="D115" s="186"/>
      <c r="E115" s="186"/>
      <c r="F115" s="186"/>
      <c r="G115" s="186"/>
      <c r="H115" s="187"/>
      <c r="I115" s="187"/>
      <c r="J115" s="187"/>
      <c r="K115" s="188"/>
      <c r="L115" s="191"/>
      <c r="M115" s="189"/>
    </row>
    <row r="116" spans="1:13" s="190" customFormat="1">
      <c r="A116" s="186"/>
      <c r="B116" s="186"/>
      <c r="C116" s="186"/>
      <c r="D116" s="186"/>
      <c r="E116" s="186"/>
      <c r="F116" s="186"/>
      <c r="G116" s="186"/>
      <c r="H116" s="187"/>
      <c r="I116" s="187"/>
      <c r="J116" s="187"/>
      <c r="K116" s="188"/>
      <c r="L116" s="191"/>
      <c r="M116" s="189"/>
    </row>
    <row r="117" spans="1:13" s="190" customFormat="1">
      <c r="A117" s="186"/>
      <c r="B117" s="186"/>
      <c r="C117" s="186"/>
      <c r="D117" s="186"/>
      <c r="E117" s="186"/>
      <c r="F117" s="186"/>
      <c r="G117" s="186"/>
      <c r="H117" s="187"/>
      <c r="I117" s="187"/>
      <c r="J117" s="187"/>
      <c r="K117" s="188"/>
      <c r="L117" s="191"/>
      <c r="M117" s="189"/>
    </row>
    <row r="118" spans="1:13" s="190" customFormat="1">
      <c r="A118" s="186"/>
      <c r="B118" s="186"/>
      <c r="C118" s="186"/>
      <c r="D118" s="186"/>
      <c r="E118" s="186"/>
      <c r="F118" s="186"/>
      <c r="G118" s="186"/>
      <c r="H118" s="187"/>
      <c r="I118" s="187"/>
      <c r="J118" s="187"/>
      <c r="K118" s="188"/>
      <c r="L118" s="191"/>
      <c r="M118" s="189"/>
    </row>
    <row r="119" spans="1:13" s="190" customFormat="1">
      <c r="A119" s="186"/>
      <c r="B119" s="186"/>
      <c r="C119" s="186"/>
      <c r="D119" s="186"/>
      <c r="E119" s="186"/>
      <c r="F119" s="186"/>
      <c r="G119" s="186"/>
      <c r="H119" s="187"/>
      <c r="I119" s="187"/>
      <c r="J119" s="187"/>
      <c r="K119" s="188"/>
      <c r="L119" s="191"/>
      <c r="M119" s="189"/>
    </row>
    <row r="120" spans="1:13" s="190" customFormat="1">
      <c r="A120" s="186"/>
      <c r="B120" s="186"/>
      <c r="C120" s="186"/>
      <c r="D120" s="186"/>
      <c r="E120" s="186"/>
      <c r="F120" s="186"/>
      <c r="G120" s="186"/>
      <c r="H120" s="187"/>
      <c r="I120" s="187"/>
      <c r="J120" s="187"/>
      <c r="K120" s="188"/>
      <c r="L120" s="191"/>
      <c r="M120" s="189"/>
    </row>
    <row r="121" spans="1:13" s="190" customFormat="1">
      <c r="A121" s="186"/>
      <c r="B121" s="186"/>
      <c r="C121" s="186"/>
      <c r="D121" s="186"/>
      <c r="E121" s="186"/>
      <c r="F121" s="186"/>
      <c r="G121" s="186"/>
      <c r="H121" s="187"/>
      <c r="I121" s="187"/>
      <c r="J121" s="187"/>
      <c r="K121" s="188"/>
      <c r="L121" s="191"/>
      <c r="M121" s="189"/>
    </row>
    <row r="122" spans="1:13" s="190" customFormat="1">
      <c r="A122" s="186"/>
      <c r="B122" s="186"/>
      <c r="C122" s="186"/>
      <c r="D122" s="186"/>
      <c r="E122" s="186"/>
      <c r="F122" s="186"/>
      <c r="G122" s="186"/>
      <c r="H122" s="187"/>
      <c r="I122" s="187"/>
      <c r="J122" s="187"/>
      <c r="K122" s="188"/>
      <c r="L122" s="191"/>
      <c r="M122" s="189"/>
    </row>
    <row r="123" spans="1:13" s="190" customFormat="1">
      <c r="A123" s="186"/>
      <c r="B123" s="186"/>
      <c r="C123" s="186"/>
      <c r="D123" s="186"/>
      <c r="E123" s="186"/>
      <c r="F123" s="186"/>
      <c r="G123" s="186"/>
      <c r="H123" s="187"/>
      <c r="I123" s="187"/>
      <c r="J123" s="187"/>
      <c r="K123" s="188"/>
      <c r="L123" s="191"/>
      <c r="M123" s="189"/>
    </row>
    <row r="124" spans="1:13" s="190" customFormat="1">
      <c r="A124" s="186"/>
      <c r="B124" s="186"/>
      <c r="C124" s="186"/>
      <c r="D124" s="186"/>
      <c r="E124" s="186"/>
      <c r="F124" s="186"/>
      <c r="G124" s="186"/>
      <c r="H124" s="187"/>
      <c r="I124" s="187"/>
      <c r="J124" s="187"/>
      <c r="K124" s="188"/>
      <c r="L124" s="191"/>
      <c r="M124" s="189"/>
    </row>
    <row r="125" spans="1:13" s="190" customFormat="1">
      <c r="A125" s="186"/>
      <c r="B125" s="186"/>
      <c r="C125" s="186"/>
      <c r="D125" s="186"/>
      <c r="E125" s="186"/>
      <c r="F125" s="186"/>
      <c r="G125" s="186"/>
      <c r="H125" s="187"/>
      <c r="I125" s="187"/>
      <c r="J125" s="187"/>
      <c r="K125" s="188"/>
      <c r="L125" s="191"/>
      <c r="M125" s="189"/>
    </row>
    <row r="126" spans="1:13" s="190" customFormat="1">
      <c r="A126" s="186"/>
      <c r="B126" s="186"/>
      <c r="C126" s="186"/>
      <c r="D126" s="186"/>
      <c r="E126" s="186"/>
      <c r="F126" s="186"/>
      <c r="G126" s="186"/>
      <c r="H126" s="187"/>
      <c r="I126" s="187"/>
      <c r="J126" s="187"/>
      <c r="K126" s="188"/>
      <c r="L126" s="191"/>
      <c r="M126" s="189"/>
    </row>
    <row r="127" spans="1:13" s="190" customFormat="1">
      <c r="A127" s="186"/>
      <c r="B127" s="186"/>
      <c r="C127" s="186"/>
      <c r="D127" s="186"/>
      <c r="E127" s="186"/>
      <c r="F127" s="186"/>
      <c r="G127" s="186"/>
      <c r="H127" s="187"/>
      <c r="I127" s="187"/>
      <c r="J127" s="187"/>
      <c r="K127" s="188"/>
      <c r="L127" s="191"/>
      <c r="M127" s="189"/>
    </row>
    <row r="128" spans="1:13" s="190" customFormat="1">
      <c r="A128" s="186"/>
      <c r="B128" s="186"/>
      <c r="C128" s="186"/>
      <c r="D128" s="186"/>
      <c r="E128" s="186"/>
      <c r="F128" s="186"/>
      <c r="G128" s="186"/>
      <c r="H128" s="187"/>
      <c r="I128" s="187"/>
      <c r="J128" s="187"/>
      <c r="K128" s="188"/>
      <c r="L128" s="191"/>
      <c r="M128" s="189"/>
    </row>
    <row r="129" spans="1:54" s="190" customFormat="1">
      <c r="A129" s="186"/>
      <c r="B129" s="186"/>
      <c r="C129" s="186"/>
      <c r="D129" s="186"/>
      <c r="E129" s="186"/>
      <c r="F129" s="186"/>
      <c r="G129" s="186"/>
      <c r="H129" s="187"/>
      <c r="I129" s="187"/>
      <c r="J129" s="187"/>
      <c r="K129" s="188"/>
      <c r="L129" s="191"/>
      <c r="M129" s="189"/>
    </row>
    <row r="130" spans="1:54" s="190" customFormat="1">
      <c r="A130" s="186"/>
      <c r="B130" s="186"/>
      <c r="C130" s="186"/>
      <c r="D130" s="186"/>
      <c r="E130" s="186"/>
      <c r="F130" s="186"/>
      <c r="G130" s="186"/>
      <c r="H130" s="187"/>
      <c r="I130" s="187"/>
      <c r="J130" s="187"/>
      <c r="K130" s="188"/>
      <c r="L130" s="191"/>
      <c r="M130" s="189"/>
    </row>
    <row r="131" spans="1:54" s="190" customFormat="1">
      <c r="A131" s="186"/>
      <c r="B131" s="186"/>
      <c r="C131" s="186"/>
      <c r="D131" s="186"/>
      <c r="E131" s="186"/>
      <c r="F131" s="186"/>
      <c r="G131" s="186"/>
      <c r="H131" s="187"/>
      <c r="I131" s="187"/>
      <c r="J131" s="187"/>
      <c r="K131" s="188"/>
      <c r="L131" s="191"/>
      <c r="M131" s="189"/>
    </row>
    <row r="132" spans="1:54" s="190" customFormat="1">
      <c r="A132" s="186"/>
      <c r="B132" s="186"/>
      <c r="C132" s="186"/>
      <c r="D132" s="186"/>
      <c r="E132" s="186"/>
      <c r="F132" s="186"/>
      <c r="G132" s="186"/>
      <c r="H132" s="187"/>
      <c r="I132" s="187"/>
      <c r="J132" s="187"/>
      <c r="K132" s="188"/>
      <c r="L132" s="191"/>
      <c r="M132" s="189"/>
    </row>
    <row r="133" spans="1:54" s="190" customFormat="1">
      <c r="A133" s="186"/>
      <c r="B133" s="186"/>
      <c r="C133" s="186"/>
      <c r="D133" s="186"/>
      <c r="E133" s="186"/>
      <c r="F133" s="186"/>
      <c r="G133" s="186"/>
      <c r="H133" s="187"/>
      <c r="I133" s="187"/>
      <c r="J133" s="187"/>
      <c r="K133" s="188"/>
      <c r="L133" s="191"/>
      <c r="M133" s="189"/>
    </row>
    <row r="134" spans="1:54" s="190" customFormat="1">
      <c r="A134" s="186"/>
      <c r="B134" s="186"/>
      <c r="C134" s="186"/>
      <c r="D134" s="186"/>
      <c r="E134" s="186"/>
      <c r="F134" s="186"/>
      <c r="G134" s="186"/>
      <c r="H134" s="187"/>
      <c r="I134" s="187"/>
      <c r="J134" s="187"/>
      <c r="K134" s="188"/>
      <c r="L134" s="191"/>
      <c r="M134" s="189"/>
    </row>
    <row r="135" spans="1:54" s="165" customFormat="1">
      <c r="A135" s="161">
        <v>45930</v>
      </c>
      <c r="B135" s="161" t="s">
        <v>41</v>
      </c>
      <c r="C135" s="162" t="s">
        <v>147</v>
      </c>
      <c r="D135" s="161" t="s">
        <v>147</v>
      </c>
      <c r="E135" s="162">
        <v>1</v>
      </c>
      <c r="F135" s="163" t="s">
        <v>155</v>
      </c>
      <c r="G135" s="164">
        <f>20677+4894.54+7415.75</f>
        <v>32987.29</v>
      </c>
      <c r="H135" s="164"/>
      <c r="I135" s="164"/>
      <c r="J135" s="164"/>
      <c r="K135" s="164">
        <v>0</v>
      </c>
      <c r="L135" s="164"/>
      <c r="M135" s="166">
        <f>G135</f>
        <v>32987.29</v>
      </c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7"/>
      <c r="AU135" s="167"/>
      <c r="AV135" s="167"/>
      <c r="AW135" s="167"/>
      <c r="AX135" s="167"/>
      <c r="AY135" s="167"/>
      <c r="AZ135" s="167"/>
      <c r="BA135" s="167"/>
      <c r="BB135" s="167"/>
    </row>
    <row r="136" spans="1:54">
      <c r="A136" s="35">
        <v>45940</v>
      </c>
      <c r="B136" s="152" t="s">
        <v>41</v>
      </c>
      <c r="C136" s="152" t="s">
        <v>30</v>
      </c>
      <c r="D136" s="153" t="s">
        <v>33</v>
      </c>
      <c r="E136" s="152">
        <v>600</v>
      </c>
      <c r="F136" s="154" t="s">
        <v>160</v>
      </c>
      <c r="G136" s="158">
        <f>62400+31200</f>
        <v>93600</v>
      </c>
      <c r="H136" s="156"/>
      <c r="I136" s="39"/>
      <c r="J136" s="39"/>
      <c r="K136" s="33">
        <f>G136</f>
        <v>93600</v>
      </c>
      <c r="L136" s="33"/>
    </row>
    <row r="137" spans="1:54">
      <c r="A137" s="47">
        <v>45943</v>
      </c>
      <c r="B137" s="48" t="s">
        <v>41</v>
      </c>
      <c r="C137" s="31" t="s">
        <v>32</v>
      </c>
      <c r="D137" s="30" t="s">
        <v>47</v>
      </c>
      <c r="E137" s="31">
        <v>4</v>
      </c>
      <c r="F137" s="32" t="s">
        <v>161</v>
      </c>
      <c r="G137" s="50">
        <f>25000*4</f>
        <v>100000</v>
      </c>
      <c r="H137" s="39"/>
      <c r="I137" s="39"/>
      <c r="J137" s="39"/>
      <c r="K137" s="50">
        <f>SUM(G137)</f>
        <v>100000</v>
      </c>
      <c r="L137" s="50"/>
    </row>
    <row r="138" spans="1:54">
      <c r="A138" s="30">
        <v>45943</v>
      </c>
      <c r="B138" s="30" t="s">
        <v>41</v>
      </c>
      <c r="C138" s="31" t="s">
        <v>26</v>
      </c>
      <c r="D138" s="30" t="s">
        <v>42</v>
      </c>
      <c r="E138" s="31">
        <v>1</v>
      </c>
      <c r="F138" s="32" t="s">
        <v>143</v>
      </c>
      <c r="G138" s="33">
        <v>10000</v>
      </c>
      <c r="H138" s="34"/>
      <c r="I138" s="34"/>
      <c r="J138" s="34"/>
      <c r="K138" s="33"/>
      <c r="L138" s="33">
        <f>G138</f>
        <v>10000</v>
      </c>
    </row>
    <row r="139" spans="1:54">
      <c r="A139" s="30">
        <v>45941</v>
      </c>
      <c r="B139" s="31" t="s">
        <v>41</v>
      </c>
      <c r="C139" s="31" t="s">
        <v>46</v>
      </c>
      <c r="D139" s="31" t="s">
        <v>56</v>
      </c>
      <c r="E139" s="31">
        <v>1</v>
      </c>
      <c r="F139" s="32" t="s">
        <v>162</v>
      </c>
      <c r="G139" s="33">
        <v>11677.6</v>
      </c>
      <c r="H139" s="33"/>
      <c r="I139" s="33"/>
      <c r="J139" s="33"/>
      <c r="K139" s="33"/>
      <c r="L139" s="33">
        <f>G139</f>
        <v>11677.6</v>
      </c>
    </row>
    <row r="140" spans="1:54" s="165" customFormat="1" ht="15" thickBot="1">
      <c r="A140" s="161">
        <v>45930</v>
      </c>
      <c r="B140" s="161" t="s">
        <v>41</v>
      </c>
      <c r="C140" s="162" t="s">
        <v>147</v>
      </c>
      <c r="D140" s="161" t="s">
        <v>147</v>
      </c>
      <c r="E140" s="162">
        <v>1</v>
      </c>
      <c r="F140" s="163" t="s">
        <v>163</v>
      </c>
      <c r="G140" s="164">
        <f>1119.23+235.04</f>
        <v>1354.27</v>
      </c>
      <c r="H140" s="164"/>
      <c r="I140" s="164"/>
      <c r="J140" s="164"/>
      <c r="K140" s="164">
        <v>0</v>
      </c>
      <c r="L140" s="164"/>
      <c r="M140" s="166">
        <f>G140</f>
        <v>1354.27</v>
      </c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7"/>
      <c r="AN140" s="167"/>
      <c r="AO140" s="167"/>
      <c r="AP140" s="167"/>
      <c r="AQ140" s="167"/>
      <c r="AR140" s="167"/>
      <c r="AS140" s="167"/>
      <c r="AT140" s="167"/>
      <c r="AU140" s="167"/>
      <c r="AV140" s="167"/>
      <c r="AW140" s="167"/>
      <c r="AX140" s="167"/>
      <c r="AY140" s="167"/>
      <c r="AZ140" s="167"/>
      <c r="BA140" s="167"/>
      <c r="BB140" s="167"/>
    </row>
    <row r="141" spans="1:54">
      <c r="A141" s="103">
        <v>45945</v>
      </c>
      <c r="B141" s="104" t="s">
        <v>41</v>
      </c>
      <c r="C141" s="105" t="s">
        <v>88</v>
      </c>
      <c r="D141" s="104" t="s">
        <v>89</v>
      </c>
      <c r="E141" s="105"/>
      <c r="F141" s="106" t="s">
        <v>156</v>
      </c>
      <c r="G141" s="107">
        <v>650000</v>
      </c>
      <c r="H141" s="107"/>
      <c r="I141" s="107"/>
      <c r="J141" s="107"/>
      <c r="K141" s="107">
        <v>400000</v>
      </c>
      <c r="L141" s="108">
        <v>250000</v>
      </c>
    </row>
    <row r="142" spans="1:54" ht="15" thickBot="1">
      <c r="A142" s="109">
        <v>45945</v>
      </c>
      <c r="B142" s="110" t="s">
        <v>41</v>
      </c>
      <c r="C142" s="111" t="s">
        <v>88</v>
      </c>
      <c r="D142" s="110" t="s">
        <v>91</v>
      </c>
      <c r="E142" s="111"/>
      <c r="F142" s="112" t="s">
        <v>157</v>
      </c>
      <c r="G142" s="113">
        <v>650000</v>
      </c>
      <c r="H142" s="113"/>
      <c r="I142" s="113"/>
      <c r="J142" s="113"/>
      <c r="K142" s="113">
        <v>350000</v>
      </c>
      <c r="L142" s="114">
        <v>300000</v>
      </c>
    </row>
    <row r="143" spans="1:54" s="165" customFormat="1">
      <c r="A143" s="161">
        <v>45947</v>
      </c>
      <c r="B143" s="161" t="s">
        <v>41</v>
      </c>
      <c r="C143" s="162" t="s">
        <v>147</v>
      </c>
      <c r="D143" s="161" t="s">
        <v>147</v>
      </c>
      <c r="E143" s="162">
        <v>1</v>
      </c>
      <c r="F143" s="163" t="s">
        <v>164</v>
      </c>
      <c r="G143" s="164">
        <f>31291.02+4829.1+7585.22+6600</f>
        <v>50305.340000000004</v>
      </c>
      <c r="H143" s="164"/>
      <c r="I143" s="164"/>
      <c r="J143" s="164"/>
      <c r="K143" s="164">
        <v>0</v>
      </c>
      <c r="L143" s="164"/>
      <c r="M143" s="166">
        <f>G143</f>
        <v>50305.340000000004</v>
      </c>
      <c r="N143" s="184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167"/>
      <c r="AN143" s="167"/>
      <c r="AO143" s="167"/>
      <c r="AP143" s="167"/>
      <c r="AQ143" s="167"/>
      <c r="AR143" s="167"/>
      <c r="AS143" s="167"/>
      <c r="AT143" s="167"/>
      <c r="AU143" s="167"/>
      <c r="AV143" s="167"/>
      <c r="AW143" s="167"/>
      <c r="AX143" s="167"/>
      <c r="AY143" s="167"/>
      <c r="AZ143" s="167"/>
      <c r="BA143" s="167"/>
      <c r="BB143" s="167"/>
    </row>
    <row r="144" spans="1:54">
      <c r="A144" s="30">
        <v>45951</v>
      </c>
      <c r="B144" s="31" t="s">
        <v>41</v>
      </c>
      <c r="C144" s="31" t="s">
        <v>58</v>
      </c>
      <c r="D144" s="31" t="s">
        <v>59</v>
      </c>
      <c r="E144" s="31"/>
      <c r="F144" s="32" t="s">
        <v>165</v>
      </c>
      <c r="G144" s="33">
        <v>16000</v>
      </c>
      <c r="H144" s="33"/>
      <c r="I144" s="33"/>
      <c r="J144" s="33"/>
      <c r="K144" s="33"/>
      <c r="L144" s="33">
        <f>G144</f>
        <v>16000</v>
      </c>
    </row>
    <row r="145" spans="1:54" s="165" customFormat="1">
      <c r="A145" s="161">
        <v>45954</v>
      </c>
      <c r="B145" s="161" t="s">
        <v>41</v>
      </c>
      <c r="C145" s="162" t="s">
        <v>147</v>
      </c>
      <c r="D145" s="161" t="s">
        <v>147</v>
      </c>
      <c r="E145" s="162">
        <v>1</v>
      </c>
      <c r="F145" s="163" t="s">
        <v>166</v>
      </c>
      <c r="G145" s="164">
        <f>54138.37+33500+17314.66+26000-5187.61</f>
        <v>125765.42</v>
      </c>
      <c r="H145" s="164"/>
      <c r="I145" s="164"/>
      <c r="J145" s="164"/>
      <c r="K145" s="164">
        <v>0</v>
      </c>
      <c r="L145" s="164"/>
      <c r="M145" s="166">
        <f>G145</f>
        <v>125765.42</v>
      </c>
      <c r="N145" s="184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67"/>
      <c r="AR145" s="167"/>
      <c r="AS145" s="167"/>
      <c r="AT145" s="167"/>
      <c r="AU145" s="167"/>
      <c r="AV145" s="167"/>
      <c r="AW145" s="167"/>
      <c r="AX145" s="167"/>
      <c r="AY145" s="167"/>
      <c r="AZ145" s="167"/>
      <c r="BA145" s="167"/>
      <c r="BB145" s="167"/>
    </row>
    <row r="146" spans="1:54">
      <c r="A146" s="35">
        <v>45958</v>
      </c>
      <c r="B146" s="152" t="s">
        <v>41</v>
      </c>
      <c r="C146" s="152" t="s">
        <v>30</v>
      </c>
      <c r="D146" s="153" t="s">
        <v>33</v>
      </c>
      <c r="E146" s="152">
        <v>400</v>
      </c>
      <c r="F146" s="154" t="s">
        <v>34</v>
      </c>
      <c r="G146" s="158">
        <v>62400</v>
      </c>
      <c r="H146" s="156"/>
      <c r="I146" s="39"/>
      <c r="J146" s="39"/>
      <c r="K146" s="33"/>
      <c r="L146" s="33"/>
    </row>
    <row r="147" spans="1:54">
      <c r="A147" s="35">
        <v>45958</v>
      </c>
      <c r="B147" s="48" t="s">
        <v>41</v>
      </c>
      <c r="C147" s="151" t="s">
        <v>31</v>
      </c>
      <c r="D147" s="47" t="s">
        <v>33</v>
      </c>
      <c r="E147" s="48">
        <v>400</v>
      </c>
      <c r="F147" s="155" t="s">
        <v>115</v>
      </c>
      <c r="G147" s="159">
        <v>143200</v>
      </c>
      <c r="H147" s="157"/>
      <c r="I147" s="51"/>
      <c r="J147" s="51"/>
      <c r="K147" s="33"/>
      <c r="L147" s="33"/>
    </row>
    <row r="148" spans="1:54">
      <c r="A148" s="35">
        <v>45958</v>
      </c>
      <c r="B148" s="48" t="s">
        <v>41</v>
      </c>
      <c r="C148" s="151" t="s">
        <v>31</v>
      </c>
      <c r="D148" s="47" t="s">
        <v>33</v>
      </c>
      <c r="E148" s="48">
        <v>200</v>
      </c>
      <c r="F148" s="155" t="s">
        <v>169</v>
      </c>
      <c r="G148" s="159">
        <v>71100</v>
      </c>
      <c r="H148" s="157"/>
      <c r="I148" s="51"/>
      <c r="J148" s="51"/>
      <c r="K148" s="33">
        <f>G146+G147+G148</f>
        <v>276700</v>
      </c>
      <c r="L148" s="33"/>
    </row>
    <row r="149" spans="1:54">
      <c r="A149" s="30">
        <v>46004</v>
      </c>
      <c r="B149" s="42" t="s">
        <v>41</v>
      </c>
      <c r="C149" s="31" t="s">
        <v>38</v>
      </c>
      <c r="D149" s="30" t="s">
        <v>132</v>
      </c>
      <c r="E149" s="31">
        <v>5</v>
      </c>
      <c r="F149" s="32" t="s">
        <v>133</v>
      </c>
      <c r="G149" s="33">
        <f>10000*5</f>
        <v>50000</v>
      </c>
      <c r="H149" s="34"/>
      <c r="I149" s="34"/>
      <c r="J149" s="34"/>
      <c r="K149" s="33">
        <v>0</v>
      </c>
      <c r="L149" s="33">
        <f>G149</f>
        <v>50000</v>
      </c>
    </row>
    <row r="150" spans="1:54">
      <c r="A150" s="35"/>
      <c r="B150" s="152"/>
      <c r="C150" s="152"/>
      <c r="D150" s="153"/>
      <c r="E150" s="152"/>
      <c r="F150" s="154"/>
      <c r="G150" s="158"/>
      <c r="H150" s="156"/>
      <c r="I150" s="39"/>
      <c r="J150" s="39"/>
      <c r="K150" s="33"/>
      <c r="L150" s="33"/>
    </row>
    <row r="151" spans="1:54">
      <c r="A151" s="150"/>
      <c r="B151" s="48"/>
      <c r="C151" s="151"/>
      <c r="D151" s="47"/>
      <c r="E151" s="48"/>
      <c r="F151" s="155"/>
      <c r="G151" s="159"/>
      <c r="H151" s="157"/>
      <c r="I151" s="51"/>
      <c r="J151" s="51"/>
      <c r="K151" s="33"/>
      <c r="L151" s="33"/>
      <c r="M151" s="131">
        <f>203823-G145+5187.61</f>
        <v>83245.19</v>
      </c>
    </row>
    <row r="152" spans="1:54">
      <c r="A152" s="47"/>
      <c r="B152" s="48"/>
      <c r="C152" s="48"/>
      <c r="D152" s="47"/>
      <c r="E152" s="48"/>
      <c r="F152" s="155"/>
      <c r="G152" s="160"/>
      <c r="H152" s="156"/>
      <c r="I152" s="39"/>
      <c r="J152" s="39"/>
      <c r="K152" s="50"/>
      <c r="L152" s="50"/>
    </row>
    <row r="153" spans="1:54">
      <c r="A153" s="30"/>
      <c r="B153" s="31"/>
      <c r="C153" s="31"/>
      <c r="D153" s="30"/>
      <c r="E153" s="31"/>
      <c r="F153" s="32"/>
      <c r="G153" s="45"/>
      <c r="H153" s="51"/>
      <c r="I153" s="51"/>
      <c r="J153" s="51"/>
      <c r="K153" s="33"/>
      <c r="L153" s="33"/>
    </row>
    <row r="154" spans="1:54">
      <c r="A154" s="30"/>
      <c r="B154" s="30"/>
      <c r="C154" s="31"/>
      <c r="D154" s="30"/>
      <c r="E154" s="31"/>
      <c r="F154" s="32"/>
      <c r="G154" s="33"/>
      <c r="H154" s="34"/>
      <c r="I154" s="34"/>
      <c r="J154" s="34"/>
      <c r="K154" s="33"/>
      <c r="L154" s="33"/>
    </row>
    <row r="155" spans="1:54">
      <c r="A155" s="30"/>
      <c r="B155" s="31"/>
      <c r="C155" s="31"/>
      <c r="D155" s="31"/>
      <c r="E155" s="31"/>
      <c r="F155" s="32"/>
      <c r="G155" s="33"/>
      <c r="H155" s="33"/>
      <c r="I155" s="33"/>
      <c r="J155" s="33"/>
      <c r="K155" s="33"/>
      <c r="L155" s="33"/>
    </row>
    <row r="156" spans="1:54">
      <c r="A156" s="47"/>
      <c r="B156" s="48"/>
      <c r="C156" s="31"/>
      <c r="D156" s="30"/>
      <c r="E156" s="31"/>
      <c r="F156" s="32"/>
      <c r="G156" s="50"/>
      <c r="H156" s="39"/>
      <c r="I156" s="39"/>
      <c r="J156" s="39"/>
      <c r="K156" s="50"/>
      <c r="L156" s="50"/>
    </row>
    <row r="157" spans="1:54">
      <c r="A157" s="35"/>
      <c r="B157" s="37"/>
      <c r="C157" s="48"/>
      <c r="D157" s="47"/>
      <c r="E157" s="48"/>
      <c r="F157" s="49"/>
      <c r="G157" s="52"/>
      <c r="H157" s="39"/>
      <c r="I157" s="39"/>
      <c r="J157" s="39"/>
      <c r="K157" s="52"/>
      <c r="L157" s="52"/>
    </row>
    <row r="158" spans="1:54" s="149" customFormat="1">
      <c r="A158" s="145"/>
      <c r="B158" s="48"/>
      <c r="C158" s="48"/>
      <c r="D158" s="145"/>
      <c r="E158" s="48"/>
      <c r="F158" s="146"/>
      <c r="G158" s="50"/>
      <c r="H158" s="148"/>
      <c r="I158" s="148"/>
      <c r="J158" s="148"/>
      <c r="K158" s="147"/>
      <c r="L158" s="50"/>
    </row>
    <row r="159" spans="1:54">
      <c r="A159" s="47"/>
      <c r="B159" s="42"/>
      <c r="C159" s="48"/>
      <c r="D159" s="47"/>
      <c r="E159" s="48"/>
      <c r="F159" s="49"/>
      <c r="G159" s="45"/>
      <c r="H159" s="51"/>
      <c r="I159" s="51"/>
      <c r="J159" s="51"/>
      <c r="K159" s="45"/>
      <c r="L159" s="45"/>
    </row>
    <row r="160" spans="1:54">
      <c r="A160" s="30"/>
      <c r="B160" s="42"/>
      <c r="C160" s="31"/>
      <c r="D160" s="30"/>
      <c r="E160" s="31"/>
      <c r="F160" s="32"/>
      <c r="G160" s="33"/>
      <c r="H160" s="34"/>
      <c r="I160" s="34"/>
      <c r="J160" s="34"/>
      <c r="K160" s="33"/>
      <c r="L160" s="33"/>
    </row>
    <row r="161" spans="1:54">
      <c r="A161" s="30"/>
      <c r="B161" s="42"/>
      <c r="C161" s="31"/>
      <c r="D161" s="30"/>
      <c r="E161" s="31"/>
      <c r="F161" s="32"/>
      <c r="G161" s="33"/>
      <c r="H161" s="34"/>
      <c r="I161" s="34"/>
      <c r="J161" s="34"/>
      <c r="K161" s="33"/>
      <c r="L161" s="33"/>
    </row>
    <row r="162" spans="1:54">
      <c r="A162" s="47"/>
      <c r="B162" s="48"/>
      <c r="C162" s="48"/>
      <c r="D162" s="47"/>
      <c r="E162" s="48"/>
      <c r="F162" s="49"/>
      <c r="G162" s="50"/>
      <c r="H162" s="39"/>
      <c r="I162" s="39"/>
      <c r="J162" s="39"/>
      <c r="K162" s="50"/>
      <c r="L162" s="50"/>
    </row>
    <row r="163" spans="1:54">
      <c r="A163" s="47"/>
      <c r="B163" s="48"/>
      <c r="C163" s="48"/>
      <c r="D163" s="47"/>
      <c r="E163" s="48"/>
      <c r="F163" s="49"/>
      <c r="G163" s="50"/>
      <c r="H163" s="39"/>
      <c r="I163" s="39"/>
      <c r="J163" s="39"/>
      <c r="K163" s="50"/>
      <c r="L163" s="50"/>
    </row>
    <row r="164" spans="1:54">
      <c r="A164" s="47"/>
      <c r="B164" s="48"/>
      <c r="C164" s="31"/>
      <c r="D164" s="30"/>
      <c r="E164" s="31"/>
      <c r="F164" s="32"/>
      <c r="G164" s="50"/>
      <c r="H164" s="39"/>
      <c r="I164" s="39"/>
      <c r="J164" s="39"/>
      <c r="K164" s="50"/>
      <c r="L164" s="50"/>
    </row>
    <row r="165" spans="1:54">
      <c r="A165" s="30"/>
      <c r="B165" s="42"/>
      <c r="C165" s="31"/>
      <c r="D165" s="30"/>
      <c r="E165" s="31"/>
      <c r="F165" s="32"/>
      <c r="G165" s="33"/>
      <c r="H165" s="34"/>
      <c r="I165" s="34"/>
      <c r="J165" s="34"/>
      <c r="K165" s="33"/>
      <c r="L165" s="33"/>
    </row>
    <row r="166" spans="1:54">
      <c r="A166" s="40"/>
      <c r="B166" s="31"/>
      <c r="C166" s="42"/>
      <c r="D166" s="40"/>
      <c r="E166" s="42"/>
      <c r="F166" s="43"/>
      <c r="G166" s="33"/>
      <c r="H166" s="44"/>
      <c r="I166" s="44"/>
      <c r="J166" s="44"/>
      <c r="K166" s="33"/>
      <c r="L166" s="50"/>
    </row>
    <row r="167" spans="1:54">
      <c r="A167" s="30"/>
      <c r="B167" s="30"/>
      <c r="C167" s="31"/>
      <c r="D167" s="30"/>
      <c r="E167" s="31"/>
      <c r="F167" s="32"/>
      <c r="G167" s="33"/>
      <c r="H167" s="34"/>
      <c r="I167" s="34"/>
      <c r="J167" s="34"/>
      <c r="K167" s="33"/>
      <c r="L167" s="33"/>
    </row>
    <row r="168" spans="1:54">
      <c r="A168" s="30"/>
      <c r="B168" s="46"/>
      <c r="C168" s="31"/>
      <c r="D168" s="30"/>
      <c r="E168" s="31"/>
      <c r="F168" s="32"/>
      <c r="G168" s="33"/>
      <c r="H168" s="34"/>
      <c r="I168" s="34"/>
      <c r="J168" s="34"/>
      <c r="K168" s="33"/>
      <c r="L168" s="33"/>
    </row>
    <row r="169" spans="1:54">
      <c r="A169" s="35"/>
      <c r="B169" s="37"/>
      <c r="C169" s="48"/>
      <c r="D169" s="47"/>
      <c r="E169" s="48"/>
      <c r="F169" s="49"/>
      <c r="G169" s="52"/>
      <c r="H169" s="39"/>
      <c r="I169" s="39"/>
      <c r="J169" s="39"/>
      <c r="K169" s="52"/>
      <c r="L169" s="52"/>
    </row>
    <row r="170" spans="1:54" s="149" customFormat="1">
      <c r="A170" s="145"/>
      <c r="B170" s="48"/>
      <c r="C170" s="48"/>
      <c r="D170" s="145"/>
      <c r="E170" s="48"/>
      <c r="F170" s="146"/>
      <c r="G170" s="50"/>
      <c r="H170" s="148"/>
      <c r="I170" s="148"/>
      <c r="J170" s="148"/>
      <c r="K170" s="147"/>
      <c r="L170" s="50"/>
    </row>
    <row r="171" spans="1:54">
      <c r="A171" s="47"/>
      <c r="B171" s="48"/>
      <c r="C171" s="48"/>
      <c r="D171" s="47"/>
      <c r="E171" s="48"/>
      <c r="F171" s="49"/>
      <c r="G171" s="50"/>
      <c r="H171" s="39"/>
      <c r="I171" s="39"/>
      <c r="J171" s="39"/>
      <c r="K171" s="50"/>
      <c r="L171" s="50"/>
    </row>
    <row r="172" spans="1:54" s="165" customFormat="1">
      <c r="A172" s="161"/>
      <c r="B172" s="161"/>
      <c r="C172" s="162"/>
      <c r="D172" s="161"/>
      <c r="E172" s="162"/>
      <c r="F172" s="163"/>
      <c r="G172" s="164"/>
      <c r="H172" s="164"/>
      <c r="I172" s="164"/>
      <c r="J172" s="164"/>
      <c r="K172" s="164"/>
      <c r="L172" s="164"/>
      <c r="M172" s="166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K172" s="167"/>
      <c r="AL172" s="167"/>
      <c r="AM172" s="167"/>
      <c r="AN172" s="167"/>
      <c r="AO172" s="167"/>
      <c r="AP172" s="167"/>
      <c r="AQ172" s="167"/>
      <c r="AR172" s="167"/>
      <c r="AS172" s="167"/>
      <c r="AT172" s="167"/>
      <c r="AU172" s="167"/>
      <c r="AV172" s="167"/>
      <c r="AW172" s="167"/>
      <c r="AX172" s="167"/>
      <c r="AY172" s="167"/>
      <c r="AZ172" s="167"/>
      <c r="BA172" s="167"/>
      <c r="BB172" s="167"/>
    </row>
    <row r="173" spans="1:54">
      <c r="A173" s="30"/>
      <c r="B173" s="31"/>
      <c r="C173" s="31"/>
      <c r="D173" s="31"/>
      <c r="E173" s="31"/>
      <c r="F173" s="32"/>
      <c r="G173" s="33"/>
      <c r="H173" s="33"/>
      <c r="I173" s="33"/>
      <c r="J173" s="33"/>
      <c r="K173" s="33"/>
      <c r="L173" s="33"/>
    </row>
    <row r="174" spans="1:54">
      <c r="A174" s="66"/>
      <c r="B174" s="66"/>
      <c r="C174" s="67"/>
      <c r="D174" s="66"/>
      <c r="E174" s="67"/>
      <c r="F174" s="68"/>
      <c r="G174" s="34"/>
      <c r="H174" s="34"/>
      <c r="I174" s="34"/>
      <c r="J174" s="34"/>
      <c r="K174" s="34"/>
      <c r="L174" s="34"/>
    </row>
    <row r="175" spans="1:54">
      <c r="A175" s="47"/>
      <c r="B175" s="48"/>
      <c r="C175" s="31"/>
      <c r="D175" s="30"/>
      <c r="E175" s="31"/>
      <c r="F175" s="32"/>
      <c r="G175" s="50"/>
      <c r="H175" s="39"/>
      <c r="I175" s="39"/>
      <c r="J175" s="39"/>
      <c r="K175" s="50"/>
      <c r="L175" s="50"/>
    </row>
    <row r="176" spans="1:54">
      <c r="A176" s="35"/>
      <c r="B176" s="37"/>
      <c r="C176" s="48"/>
      <c r="D176" s="47"/>
      <c r="E176" s="48"/>
      <c r="F176" s="49"/>
      <c r="G176" s="52"/>
      <c r="H176" s="39"/>
      <c r="I176" s="39"/>
      <c r="J176" s="39"/>
      <c r="K176" s="52"/>
      <c r="L176" s="52"/>
    </row>
    <row r="177" spans="1:54" s="149" customFormat="1">
      <c r="A177" s="145"/>
      <c r="B177" s="48"/>
      <c r="C177" s="48"/>
      <c r="D177" s="145"/>
      <c r="E177" s="48"/>
      <c r="F177" s="146"/>
      <c r="G177" s="50"/>
      <c r="H177" s="148"/>
      <c r="I177" s="148"/>
      <c r="J177" s="148"/>
      <c r="K177" s="147"/>
      <c r="L177" s="50"/>
    </row>
    <row r="178" spans="1:54">
      <c r="A178" s="40"/>
      <c r="B178" s="31"/>
      <c r="C178" s="40"/>
      <c r="D178" s="40"/>
      <c r="E178" s="42"/>
      <c r="F178" s="43"/>
      <c r="G178" s="33"/>
      <c r="H178" s="44"/>
      <c r="I178" s="44"/>
      <c r="J178" s="44"/>
      <c r="K178" s="33"/>
      <c r="L178" s="40"/>
    </row>
    <row r="179" spans="1:54" s="165" customFormat="1" ht="15" thickBot="1">
      <c r="A179" s="161"/>
      <c r="B179" s="161"/>
      <c r="C179" s="162"/>
      <c r="D179" s="161"/>
      <c r="E179" s="162"/>
      <c r="F179" s="163"/>
      <c r="G179" s="164"/>
      <c r="H179" s="164"/>
      <c r="I179" s="164"/>
      <c r="J179" s="164"/>
      <c r="K179" s="164"/>
      <c r="L179" s="164"/>
      <c r="M179" s="166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7"/>
      <c r="AL179" s="167"/>
      <c r="AM179" s="167"/>
      <c r="AN179" s="167"/>
      <c r="AO179" s="167"/>
      <c r="AP179" s="167"/>
      <c r="AQ179" s="167"/>
      <c r="AR179" s="167"/>
      <c r="AS179" s="167"/>
      <c r="AT179" s="167"/>
      <c r="AU179" s="167"/>
      <c r="AV179" s="167"/>
      <c r="AW179" s="167"/>
      <c r="AX179" s="167"/>
      <c r="AY179" s="167"/>
      <c r="AZ179" s="167"/>
      <c r="BA179" s="167"/>
      <c r="BB179" s="167"/>
    </row>
    <row r="180" spans="1:54">
      <c r="A180" s="103"/>
      <c r="B180" s="104"/>
      <c r="C180" s="105"/>
      <c r="D180" s="104"/>
      <c r="E180" s="105"/>
      <c r="F180" s="106"/>
      <c r="G180" s="107"/>
      <c r="H180" s="107"/>
      <c r="I180" s="107"/>
      <c r="J180" s="107"/>
      <c r="K180" s="107"/>
      <c r="L180" s="108"/>
    </row>
    <row r="181" spans="1:54" ht="15" thickBot="1">
      <c r="A181" s="109"/>
      <c r="B181" s="110"/>
      <c r="C181" s="111"/>
      <c r="D181" s="110"/>
      <c r="E181" s="111"/>
      <c r="F181" s="112"/>
      <c r="G181" s="113"/>
      <c r="H181" s="113"/>
      <c r="I181" s="113"/>
      <c r="J181" s="113"/>
      <c r="K181" s="113"/>
      <c r="L181" s="114"/>
    </row>
    <row r="182" spans="1:54">
      <c r="A182" s="47"/>
      <c r="B182" s="48" t="s">
        <v>41</v>
      </c>
      <c r="C182" s="48"/>
      <c r="D182" s="47"/>
      <c r="E182" s="48"/>
      <c r="F182" s="49"/>
      <c r="G182" s="50"/>
      <c r="H182" s="34"/>
      <c r="I182" s="34"/>
      <c r="J182" s="34"/>
      <c r="K182" s="50"/>
      <c r="L182" s="50"/>
    </row>
    <row r="183" spans="1:54">
      <c r="A183" s="47"/>
      <c r="B183" s="48" t="s">
        <v>41</v>
      </c>
      <c r="C183" s="48"/>
      <c r="D183" s="47"/>
      <c r="E183" s="48"/>
      <c r="F183" s="49"/>
      <c r="G183" s="50"/>
      <c r="H183" s="39"/>
      <c r="I183" s="39"/>
      <c r="J183" s="39"/>
      <c r="K183" s="50"/>
      <c r="L183" s="50"/>
    </row>
    <row r="184" spans="1:54">
      <c r="A184" s="35"/>
      <c r="B184" s="37" t="s">
        <v>41</v>
      </c>
      <c r="C184" s="37"/>
      <c r="D184" s="35"/>
      <c r="E184" s="37"/>
      <c r="F184" s="38"/>
      <c r="G184" s="52"/>
      <c r="H184" s="34"/>
      <c r="I184" s="34"/>
      <c r="J184" s="34"/>
      <c r="K184" s="52"/>
      <c r="L184" s="52"/>
    </row>
    <row r="185" spans="1:54">
      <c r="A185" s="47"/>
      <c r="B185" s="48" t="s">
        <v>41</v>
      </c>
      <c r="C185" s="48"/>
      <c r="D185" s="47"/>
      <c r="E185" s="48"/>
      <c r="F185" s="49"/>
      <c r="G185" s="50"/>
      <c r="H185" s="34"/>
      <c r="I185" s="34"/>
      <c r="J185" s="34"/>
      <c r="K185" s="50"/>
      <c r="L185" s="50"/>
    </row>
    <row r="186" spans="1:54">
      <c r="A186" s="47"/>
      <c r="B186" s="48" t="s">
        <v>41</v>
      </c>
      <c r="C186" s="48"/>
      <c r="D186" s="47"/>
      <c r="E186" s="48"/>
      <c r="F186" s="49"/>
      <c r="G186" s="50"/>
      <c r="H186" s="39"/>
      <c r="I186" s="39"/>
      <c r="J186" s="39"/>
      <c r="K186" s="50"/>
      <c r="L186" s="50"/>
    </row>
    <row r="187" spans="1:54">
      <c r="A187" s="47"/>
      <c r="B187" s="48" t="s">
        <v>41</v>
      </c>
      <c r="C187" s="48"/>
      <c r="D187" s="47"/>
      <c r="E187" s="48"/>
      <c r="F187" s="49"/>
      <c r="G187" s="50"/>
      <c r="H187" s="39"/>
      <c r="I187" s="39"/>
      <c r="J187" s="39"/>
      <c r="K187" s="50"/>
      <c r="L187" s="50"/>
    </row>
    <row r="188" spans="1:54">
      <c r="A188" s="30"/>
      <c r="B188" s="31" t="s">
        <v>41</v>
      </c>
      <c r="C188" s="31"/>
      <c r="D188" s="31"/>
      <c r="E188" s="31"/>
      <c r="F188" s="32"/>
      <c r="G188" s="33"/>
      <c r="H188" s="33"/>
      <c r="I188" s="33"/>
      <c r="J188" s="33"/>
      <c r="K188" s="33"/>
      <c r="L188" s="33"/>
    </row>
    <row r="189" spans="1:54">
      <c r="A189" s="35"/>
      <c r="B189" s="31" t="s">
        <v>41</v>
      </c>
      <c r="C189" s="37"/>
      <c r="D189" s="35"/>
      <c r="E189" s="37"/>
      <c r="F189" s="38"/>
      <c r="G189" s="33"/>
      <c r="H189" s="39"/>
      <c r="I189" s="39"/>
      <c r="J189" s="39"/>
      <c r="K189" s="33"/>
      <c r="L189" s="33"/>
    </row>
    <row r="190" spans="1:54">
      <c r="A190" s="47"/>
      <c r="B190" s="31" t="s">
        <v>41</v>
      </c>
      <c r="C190" s="48"/>
      <c r="D190" s="47"/>
      <c r="E190" s="48"/>
      <c r="F190" s="49"/>
      <c r="G190" s="33"/>
      <c r="H190" s="51"/>
      <c r="I190" s="51"/>
      <c r="J190" s="51"/>
      <c r="K190" s="33"/>
      <c r="L190" s="33"/>
    </row>
    <row r="191" spans="1:54">
      <c r="A191" s="40"/>
      <c r="B191" s="31" t="s">
        <v>41</v>
      </c>
      <c r="C191" s="42"/>
      <c r="D191" s="40"/>
      <c r="E191" s="42"/>
      <c r="F191" s="43"/>
      <c r="G191" s="33"/>
      <c r="H191" s="44"/>
      <c r="I191" s="44"/>
      <c r="J191" s="44"/>
      <c r="K191" s="33"/>
      <c r="L191" s="33"/>
    </row>
    <row r="192" spans="1:54">
      <c r="A192" s="40"/>
      <c r="B192" s="31" t="s">
        <v>41</v>
      </c>
      <c r="C192" s="42"/>
      <c r="D192" s="40"/>
      <c r="E192" s="42"/>
      <c r="F192" s="43"/>
      <c r="G192" s="33"/>
      <c r="H192" s="44"/>
      <c r="I192" s="44"/>
      <c r="J192" s="44"/>
      <c r="K192" s="33"/>
      <c r="L192" s="33"/>
    </row>
    <row r="193" spans="1:12">
      <c r="A193" s="40"/>
      <c r="B193" s="31" t="s">
        <v>41</v>
      </c>
      <c r="C193" s="42"/>
      <c r="D193" s="40"/>
      <c r="E193" s="42"/>
      <c r="F193" s="43"/>
      <c r="G193" s="33"/>
      <c r="H193" s="44"/>
      <c r="I193" s="44"/>
      <c r="J193" s="44"/>
      <c r="K193" s="33"/>
      <c r="L193" s="40"/>
    </row>
    <row r="194" spans="1:12" ht="15" thickBot="1">
      <c r="A194" s="40"/>
      <c r="B194" s="31" t="s">
        <v>41</v>
      </c>
      <c r="C194" s="42"/>
      <c r="D194" s="40"/>
      <c r="E194" s="42"/>
      <c r="F194" s="43"/>
      <c r="G194" s="33"/>
      <c r="H194" s="44"/>
      <c r="I194" s="44"/>
      <c r="J194" s="44"/>
      <c r="K194" s="33"/>
      <c r="L194" s="40"/>
    </row>
    <row r="195" spans="1:12">
      <c r="A195" s="103"/>
      <c r="B195" s="104" t="s">
        <v>41</v>
      </c>
      <c r="C195" s="105"/>
      <c r="D195" s="104"/>
      <c r="E195" s="105"/>
      <c r="F195" s="106"/>
      <c r="G195" s="107"/>
      <c r="H195" s="107"/>
      <c r="I195" s="107"/>
      <c r="J195" s="107"/>
      <c r="K195" s="107"/>
      <c r="L195" s="108"/>
    </row>
    <row r="196" spans="1:12" ht="15" thickBot="1">
      <c r="A196" s="109"/>
      <c r="B196" s="110" t="s">
        <v>41</v>
      </c>
      <c r="C196" s="111"/>
      <c r="D196" s="110"/>
      <c r="E196" s="111"/>
      <c r="F196" s="112"/>
      <c r="G196" s="113"/>
      <c r="H196" s="113"/>
      <c r="I196" s="113"/>
      <c r="J196" s="113"/>
      <c r="K196" s="113"/>
      <c r="L196" s="114"/>
    </row>
    <row r="197" spans="1:12">
      <c r="A197" s="66"/>
      <c r="B197" s="66" t="s">
        <v>41</v>
      </c>
      <c r="C197" s="67"/>
      <c r="D197" s="66"/>
      <c r="E197" s="67"/>
      <c r="F197" s="68"/>
      <c r="G197" s="34"/>
      <c r="H197" s="34"/>
      <c r="I197" s="34"/>
      <c r="J197" s="34"/>
      <c r="K197" s="34"/>
      <c r="L197" s="34"/>
    </row>
    <row r="198" spans="1:12">
      <c r="A198" s="40"/>
      <c r="B198" s="31" t="s">
        <v>41</v>
      </c>
      <c r="C198" s="40"/>
      <c r="D198" s="40"/>
      <c r="E198" s="42"/>
      <c r="F198" s="43"/>
      <c r="G198" s="33"/>
      <c r="H198" s="44"/>
      <c r="I198" s="44"/>
      <c r="J198" s="44"/>
      <c r="K198" s="33"/>
      <c r="L198" s="40"/>
    </row>
    <row r="199" spans="1:12">
      <c r="A199" s="30"/>
      <c r="B199" s="31" t="s">
        <v>41</v>
      </c>
      <c r="C199" s="31"/>
      <c r="D199" s="31"/>
      <c r="E199" s="31"/>
      <c r="F199" s="32"/>
      <c r="G199" s="33"/>
      <c r="H199" s="33"/>
      <c r="I199" s="33"/>
      <c r="J199" s="33"/>
      <c r="K199" s="33"/>
      <c r="L199" s="33"/>
    </row>
    <row r="200" spans="1:12">
      <c r="A200" s="30"/>
      <c r="B200" s="30" t="s">
        <v>41</v>
      </c>
      <c r="C200" s="31"/>
      <c r="D200" s="30"/>
      <c r="E200" s="31"/>
      <c r="F200" s="32"/>
      <c r="G200" s="33"/>
      <c r="H200" s="34"/>
      <c r="I200" s="34"/>
      <c r="J200" s="34"/>
      <c r="K200" s="33"/>
      <c r="L200" s="33"/>
    </row>
    <row r="201" spans="1:12">
      <c r="A201" s="30"/>
      <c r="B201" s="31" t="s">
        <v>41</v>
      </c>
      <c r="C201" s="31"/>
      <c r="D201" s="31"/>
      <c r="E201" s="31"/>
      <c r="F201" s="32"/>
      <c r="G201" s="33"/>
      <c r="H201" s="33"/>
      <c r="I201" s="33"/>
      <c r="J201" s="33"/>
      <c r="K201" s="33"/>
      <c r="L201" s="33"/>
    </row>
    <row r="202" spans="1:12">
      <c r="A202" s="30"/>
      <c r="B202" s="46" t="s">
        <v>41</v>
      </c>
      <c r="C202" s="31"/>
      <c r="D202" s="30"/>
      <c r="E202" s="31"/>
      <c r="F202" s="32"/>
      <c r="G202" s="33"/>
      <c r="H202" s="34"/>
      <c r="I202" s="34"/>
      <c r="J202" s="34"/>
      <c r="K202" s="33"/>
      <c r="L202" s="33"/>
    </row>
    <row r="203" spans="1:12">
      <c r="A203" s="40"/>
      <c r="B203" s="31" t="s">
        <v>41</v>
      </c>
      <c r="C203" s="40"/>
      <c r="D203" s="40"/>
      <c r="E203" s="42"/>
      <c r="F203" s="43"/>
      <c r="G203" s="33"/>
      <c r="H203" s="44"/>
      <c r="I203" s="44"/>
      <c r="J203" s="44"/>
      <c r="K203" s="33"/>
      <c r="L203" s="40"/>
    </row>
    <row r="204" spans="1:12">
      <c r="A204" s="47"/>
      <c r="B204" s="48" t="s">
        <v>41</v>
      </c>
      <c r="C204" s="48"/>
      <c r="D204" s="47"/>
      <c r="E204" s="48"/>
      <c r="F204" s="49"/>
      <c r="G204" s="50"/>
      <c r="H204" s="39"/>
      <c r="I204" s="39"/>
      <c r="J204" s="39"/>
      <c r="K204" s="50"/>
      <c r="L204" s="50"/>
    </row>
    <row r="205" spans="1:12">
      <c r="A205" s="40"/>
      <c r="B205" s="31" t="s">
        <v>41</v>
      </c>
      <c r="C205" s="42"/>
      <c r="D205" s="40"/>
      <c r="E205" s="42"/>
      <c r="F205" s="43"/>
      <c r="G205" s="33"/>
      <c r="H205" s="44"/>
      <c r="I205" s="44"/>
      <c r="J205" s="44"/>
      <c r="K205" s="33"/>
      <c r="L205" s="40"/>
    </row>
    <row r="206" spans="1:12">
      <c r="A206" s="35"/>
      <c r="B206" s="31" t="s">
        <v>41</v>
      </c>
      <c r="C206" s="37"/>
      <c r="D206" s="35"/>
      <c r="E206" s="37"/>
      <c r="F206" s="38"/>
      <c r="G206" s="33"/>
      <c r="H206" s="39"/>
      <c r="I206" s="39"/>
      <c r="J206" s="39"/>
      <c r="K206" s="33"/>
      <c r="L206" s="33"/>
    </row>
    <row r="207" spans="1:12">
      <c r="A207" s="47"/>
      <c r="B207" s="31" t="s">
        <v>41</v>
      </c>
      <c r="C207" s="48"/>
      <c r="D207" s="47"/>
      <c r="E207" s="48"/>
      <c r="F207" s="49"/>
      <c r="G207" s="33"/>
      <c r="H207" s="51"/>
      <c r="I207" s="51"/>
      <c r="J207" s="51"/>
      <c r="K207" s="33"/>
      <c r="L207" s="33"/>
    </row>
    <row r="208" spans="1:12">
      <c r="A208" s="40"/>
      <c r="B208" s="128" t="s">
        <v>41</v>
      </c>
      <c r="C208" s="48"/>
      <c r="D208" s="48"/>
      <c r="E208" s="48"/>
      <c r="F208" s="130"/>
      <c r="G208" s="129"/>
      <c r="H208" s="44"/>
      <c r="I208" s="44"/>
      <c r="J208" s="44"/>
      <c r="K208" s="33"/>
      <c r="L208" s="33"/>
    </row>
    <row r="209" spans="1:12">
      <c r="A209" s="35"/>
      <c r="B209" s="31" t="s">
        <v>41</v>
      </c>
      <c r="C209" s="42"/>
      <c r="D209" s="40"/>
      <c r="E209" s="42"/>
      <c r="F209" s="43"/>
      <c r="G209" s="33"/>
      <c r="H209" s="39"/>
      <c r="I209" s="39"/>
      <c r="J209" s="39"/>
      <c r="K209" s="33"/>
      <c r="L209" s="33"/>
    </row>
    <row r="210" spans="1:12">
      <c r="A210" s="40"/>
      <c r="B210" s="31" t="s">
        <v>41</v>
      </c>
      <c r="C210" s="42"/>
      <c r="D210" s="40"/>
      <c r="E210" s="42"/>
      <c r="F210" s="43"/>
      <c r="G210" s="33"/>
      <c r="H210" s="44"/>
      <c r="I210" s="44"/>
      <c r="J210" s="44"/>
      <c r="K210" s="33"/>
      <c r="L210" s="33"/>
    </row>
    <row r="211" spans="1:12" ht="13.5" customHeight="1">
      <c r="A211" s="35"/>
      <c r="B211" s="31" t="s">
        <v>41</v>
      </c>
      <c r="C211" s="42"/>
      <c r="D211" s="40"/>
      <c r="E211" s="42"/>
      <c r="F211" s="43"/>
      <c r="G211" s="33"/>
      <c r="H211" s="39"/>
      <c r="I211" s="39"/>
      <c r="J211" s="39"/>
      <c r="K211" s="33"/>
      <c r="L211" s="33"/>
    </row>
    <row r="212" spans="1:12" ht="13.5" customHeight="1">
      <c r="A212" s="35"/>
      <c r="B212" s="31" t="s">
        <v>41</v>
      </c>
      <c r="C212" s="42"/>
      <c r="D212" s="40"/>
      <c r="E212" s="42"/>
      <c r="F212" s="43"/>
      <c r="G212" s="33"/>
      <c r="H212" s="39"/>
      <c r="I212" s="39"/>
      <c r="J212" s="39"/>
      <c r="K212" s="33"/>
      <c r="L212" s="33"/>
    </row>
    <row r="213" spans="1:12" ht="13.5" customHeight="1">
      <c r="A213" s="47"/>
      <c r="B213" s="48"/>
      <c r="C213" s="48"/>
      <c r="D213" s="47"/>
      <c r="E213" s="48"/>
      <c r="F213" s="49"/>
      <c r="G213" s="50"/>
      <c r="H213" s="39"/>
      <c r="I213" s="39"/>
      <c r="J213" s="39"/>
      <c r="K213" s="50"/>
      <c r="L213" s="50"/>
    </row>
    <row r="214" spans="1:12">
      <c r="A214" s="47"/>
      <c r="B214" s="48"/>
      <c r="C214" s="48"/>
      <c r="D214" s="47"/>
      <c r="E214" s="48"/>
      <c r="F214" s="49"/>
      <c r="G214" s="50"/>
      <c r="H214" s="39"/>
      <c r="I214" s="39"/>
      <c r="J214" s="39"/>
      <c r="K214" s="50"/>
      <c r="L214" s="50"/>
    </row>
    <row r="215" spans="1:12">
      <c r="A215" s="47"/>
      <c r="B215" s="48"/>
      <c r="C215" s="48"/>
      <c r="D215" s="47"/>
      <c r="E215" s="48"/>
      <c r="F215" s="49"/>
      <c r="G215" s="50"/>
      <c r="H215" s="39"/>
      <c r="I215" s="39"/>
      <c r="J215" s="39"/>
      <c r="K215" s="50"/>
      <c r="L215" s="45"/>
    </row>
    <row r="216" spans="1:12">
      <c r="A216" s="30"/>
      <c r="B216" s="30"/>
      <c r="C216" s="31"/>
      <c r="D216" s="30"/>
      <c r="E216" s="31"/>
      <c r="F216" s="32"/>
      <c r="G216" s="33"/>
      <c r="H216" s="34"/>
      <c r="I216" s="34"/>
      <c r="J216" s="34"/>
      <c r="K216" s="33"/>
      <c r="L216" s="33"/>
    </row>
    <row r="217" spans="1:12">
      <c r="A217" s="35">
        <v>45854</v>
      </c>
      <c r="B217" s="36" t="s">
        <v>29</v>
      </c>
      <c r="C217" s="37" t="s">
        <v>30</v>
      </c>
      <c r="D217" s="35"/>
      <c r="E217" s="37"/>
      <c r="F217" s="38"/>
      <c r="G217" s="33"/>
      <c r="H217" s="39"/>
      <c r="I217" s="39"/>
      <c r="J217" s="39"/>
      <c r="K217" s="33"/>
      <c r="L217" s="33"/>
    </row>
    <row r="218" spans="1:12">
      <c r="A218" s="47">
        <v>45906</v>
      </c>
      <c r="B218" s="48" t="s">
        <v>41</v>
      </c>
      <c r="C218" s="37" t="s">
        <v>32</v>
      </c>
      <c r="D218" s="35" t="s">
        <v>119</v>
      </c>
      <c r="E218" s="37">
        <v>1</v>
      </c>
      <c r="F218" s="38" t="s">
        <v>36</v>
      </c>
      <c r="G218" s="50">
        <v>41000</v>
      </c>
      <c r="H218" s="39"/>
      <c r="I218" s="39"/>
      <c r="J218" s="39"/>
      <c r="K218" s="50">
        <v>41000</v>
      </c>
      <c r="L218" s="50"/>
    </row>
    <row r="219" spans="1:12">
      <c r="A219" s="35">
        <v>45907</v>
      </c>
      <c r="B219" s="152" t="s">
        <v>41</v>
      </c>
      <c r="C219" s="152" t="s">
        <v>30</v>
      </c>
      <c r="D219" s="153" t="s">
        <v>33</v>
      </c>
      <c r="E219" s="152">
        <v>400</v>
      </c>
      <c r="F219" s="154" t="s">
        <v>34</v>
      </c>
      <c r="G219" s="158">
        <v>62400</v>
      </c>
      <c r="H219" s="156"/>
      <c r="I219" s="39"/>
      <c r="J219" s="39"/>
      <c r="K219" s="33"/>
      <c r="L219" s="33"/>
    </row>
    <row r="220" spans="1:12">
      <c r="A220" s="150">
        <v>45907</v>
      </c>
      <c r="B220" s="48" t="s">
        <v>41</v>
      </c>
      <c r="C220" s="151" t="s">
        <v>31</v>
      </c>
      <c r="D220" s="47" t="s">
        <v>33</v>
      </c>
      <c r="E220" s="48">
        <v>400</v>
      </c>
      <c r="F220" s="155" t="s">
        <v>115</v>
      </c>
      <c r="G220" s="159">
        <v>143200</v>
      </c>
      <c r="H220" s="157"/>
      <c r="I220" s="51"/>
      <c r="J220" s="51"/>
      <c r="K220" s="33"/>
      <c r="L220" s="33"/>
    </row>
    <row r="221" spans="1:12">
      <c r="A221" s="47">
        <v>45907</v>
      </c>
      <c r="B221" s="48" t="s">
        <v>41</v>
      </c>
      <c r="C221" s="48" t="s">
        <v>32</v>
      </c>
      <c r="D221" s="47" t="s">
        <v>33</v>
      </c>
      <c r="E221" s="48">
        <v>2</v>
      </c>
      <c r="F221" s="155" t="s">
        <v>48</v>
      </c>
      <c r="G221" s="160">
        <v>51000</v>
      </c>
      <c r="H221" s="156"/>
      <c r="I221" s="39"/>
      <c r="J221" s="39"/>
      <c r="K221" s="50">
        <f>SUM(G219:G221)</f>
        <v>256600</v>
      </c>
      <c r="L221" s="50"/>
    </row>
    <row r="222" spans="1:12">
      <c r="A222" s="30">
        <v>45910</v>
      </c>
      <c r="B222" s="31" t="s">
        <v>41</v>
      </c>
      <c r="C222" s="31" t="s">
        <v>127</v>
      </c>
      <c r="D222" s="30" t="s">
        <v>121</v>
      </c>
      <c r="E222" s="31">
        <v>1</v>
      </c>
      <c r="F222" s="32" t="s">
        <v>128</v>
      </c>
      <c r="G222" s="45">
        <f>12000+10000</f>
        <v>22000</v>
      </c>
      <c r="H222" s="51"/>
      <c r="I222" s="51"/>
      <c r="J222" s="51"/>
      <c r="K222" s="33">
        <f>G222</f>
        <v>22000</v>
      </c>
      <c r="L222" s="33"/>
    </row>
    <row r="223" spans="1:12">
      <c r="A223" s="30">
        <v>45911</v>
      </c>
      <c r="B223" s="30" t="s">
        <v>41</v>
      </c>
      <c r="C223" s="31" t="s">
        <v>46</v>
      </c>
      <c r="D223" s="30" t="s">
        <v>44</v>
      </c>
      <c r="E223" s="31">
        <v>1</v>
      </c>
      <c r="F223" s="32" t="s">
        <v>129</v>
      </c>
      <c r="G223" s="33">
        <v>14384</v>
      </c>
      <c r="H223" s="34"/>
      <c r="I223" s="34"/>
      <c r="J223" s="34"/>
      <c r="K223" s="33"/>
      <c r="L223" s="33">
        <f>G223</f>
        <v>14384</v>
      </c>
    </row>
    <row r="224" spans="1:12">
      <c r="A224" s="30">
        <v>45911</v>
      </c>
      <c r="B224" s="31" t="s">
        <v>41</v>
      </c>
      <c r="C224" s="31" t="s">
        <v>46</v>
      </c>
      <c r="D224" s="31" t="s">
        <v>56</v>
      </c>
      <c r="E224" s="31">
        <v>1</v>
      </c>
      <c r="F224" s="32" t="s">
        <v>130</v>
      </c>
      <c r="G224" s="33">
        <v>11677.6</v>
      </c>
      <c r="H224" s="33"/>
      <c r="I224" s="33"/>
      <c r="J224" s="33"/>
      <c r="K224" s="33"/>
      <c r="L224" s="33">
        <f>G224</f>
        <v>11677.6</v>
      </c>
    </row>
    <row r="225" spans="1:12">
      <c r="A225" s="47">
        <v>45912</v>
      </c>
      <c r="B225" s="48" t="s">
        <v>41</v>
      </c>
      <c r="C225" s="31" t="s">
        <v>32</v>
      </c>
      <c r="D225" s="30" t="s">
        <v>47</v>
      </c>
      <c r="E225" s="31">
        <v>2</v>
      </c>
      <c r="F225" s="32" t="s">
        <v>48</v>
      </c>
      <c r="G225" s="50">
        <v>51000</v>
      </c>
      <c r="H225" s="39"/>
      <c r="I225" s="39"/>
      <c r="J225" s="39"/>
      <c r="K225" s="50">
        <f>SUM(G225)</f>
        <v>51000</v>
      </c>
      <c r="L225" s="50"/>
    </row>
    <row r="226" spans="1:12">
      <c r="A226" s="35">
        <v>45907</v>
      </c>
      <c r="B226" s="37" t="s">
        <v>41</v>
      </c>
      <c r="C226" s="48" t="s">
        <v>30</v>
      </c>
      <c r="D226" s="47" t="s">
        <v>33</v>
      </c>
      <c r="E226" s="48">
        <v>400</v>
      </c>
      <c r="F226" s="49" t="s">
        <v>34</v>
      </c>
      <c r="G226" s="52">
        <v>62400</v>
      </c>
      <c r="H226" s="39"/>
      <c r="I226" s="39"/>
      <c r="J226" s="39"/>
      <c r="K226" s="52"/>
      <c r="L226" s="52"/>
    </row>
    <row r="227" spans="1:12" s="149" customFormat="1">
      <c r="A227" s="145">
        <v>45907</v>
      </c>
      <c r="B227" s="48" t="s">
        <v>41</v>
      </c>
      <c r="C227" s="48" t="s">
        <v>31</v>
      </c>
      <c r="D227" s="145" t="s">
        <v>33</v>
      </c>
      <c r="E227" s="48">
        <v>400</v>
      </c>
      <c r="F227" s="146" t="s">
        <v>115</v>
      </c>
      <c r="G227" s="50">
        <v>143200</v>
      </c>
      <c r="H227" s="148"/>
      <c r="I227" s="148"/>
      <c r="J227" s="148"/>
      <c r="K227" s="147"/>
      <c r="L227" s="50"/>
    </row>
    <row r="228" spans="1:12">
      <c r="A228" s="47">
        <v>45907</v>
      </c>
      <c r="B228" s="42" t="s">
        <v>41</v>
      </c>
      <c r="C228" s="48" t="s">
        <v>31</v>
      </c>
      <c r="D228" s="47" t="s">
        <v>33</v>
      </c>
      <c r="E228" s="48">
        <v>400</v>
      </c>
      <c r="F228" s="49" t="s">
        <v>131</v>
      </c>
      <c r="G228" s="45">
        <v>143200</v>
      </c>
      <c r="H228" s="51"/>
      <c r="I228" s="51"/>
      <c r="J228" s="51"/>
      <c r="K228" s="45">
        <f>G226+G227+G228</f>
        <v>348800</v>
      </c>
      <c r="L228" s="45"/>
    </row>
    <row r="229" spans="1:12">
      <c r="A229" s="30">
        <v>45913</v>
      </c>
      <c r="B229" s="42" t="s">
        <v>41</v>
      </c>
      <c r="C229" s="31" t="s">
        <v>38</v>
      </c>
      <c r="D229" s="30" t="s">
        <v>132</v>
      </c>
      <c r="E229" s="31">
        <v>5</v>
      </c>
      <c r="F229" s="32" t="s">
        <v>133</v>
      </c>
      <c r="G229" s="33">
        <f>10000*5</f>
        <v>50000</v>
      </c>
      <c r="H229" s="34"/>
      <c r="I229" s="34"/>
      <c r="J229" s="34"/>
      <c r="K229" s="33">
        <v>0</v>
      </c>
      <c r="L229" s="33">
        <f>G229</f>
        <v>50000</v>
      </c>
    </row>
    <row r="230" spans="1:12">
      <c r="A230" s="30">
        <v>45915</v>
      </c>
      <c r="B230" s="42" t="s">
        <v>41</v>
      </c>
      <c r="C230" s="31" t="s">
        <v>135</v>
      </c>
      <c r="D230" s="30" t="s">
        <v>134</v>
      </c>
      <c r="E230" s="31">
        <v>1</v>
      </c>
      <c r="F230" s="32" t="s">
        <v>136</v>
      </c>
      <c r="G230" s="33">
        <v>12750</v>
      </c>
      <c r="H230" s="34"/>
      <c r="I230" s="34"/>
      <c r="J230" s="34"/>
      <c r="K230" s="33">
        <v>0</v>
      </c>
      <c r="L230" s="33">
        <f>G230</f>
        <v>12750</v>
      </c>
    </row>
    <row r="231" spans="1:12">
      <c r="A231" s="47">
        <v>45916</v>
      </c>
      <c r="B231" s="48" t="s">
        <v>41</v>
      </c>
      <c r="C231" s="48" t="s">
        <v>32</v>
      </c>
      <c r="D231" s="47" t="s">
        <v>119</v>
      </c>
      <c r="E231" s="48">
        <v>2</v>
      </c>
      <c r="F231" s="49" t="s">
        <v>137</v>
      </c>
      <c r="G231" s="50">
        <v>84523</v>
      </c>
      <c r="H231" s="39"/>
      <c r="I231" s="39"/>
      <c r="J231" s="39"/>
      <c r="K231" s="50">
        <f>G231</f>
        <v>84523</v>
      </c>
      <c r="L231" s="50"/>
    </row>
    <row r="232" spans="1:12">
      <c r="A232" s="47">
        <v>45916</v>
      </c>
      <c r="B232" s="48" t="s">
        <v>41</v>
      </c>
      <c r="C232" s="48" t="s">
        <v>32</v>
      </c>
      <c r="D232" s="47" t="s">
        <v>119</v>
      </c>
      <c r="E232" s="48">
        <v>4</v>
      </c>
      <c r="F232" s="49" t="s">
        <v>145</v>
      </c>
      <c r="G232" s="50">
        <v>169046</v>
      </c>
      <c r="H232" s="39"/>
      <c r="I232" s="39"/>
      <c r="J232" s="39"/>
      <c r="K232" s="50"/>
      <c r="L232" s="50">
        <f>G232</f>
        <v>169046</v>
      </c>
    </row>
    <row r="233" spans="1:12">
      <c r="A233" s="47">
        <v>45916</v>
      </c>
      <c r="B233" s="48" t="s">
        <v>41</v>
      </c>
      <c r="C233" s="31" t="s">
        <v>32</v>
      </c>
      <c r="D233" s="30" t="s">
        <v>47</v>
      </c>
      <c r="E233" s="31">
        <v>6</v>
      </c>
      <c r="F233" s="32" t="s">
        <v>138</v>
      </c>
      <c r="G233" s="50">
        <f>25000*6</f>
        <v>150000</v>
      </c>
      <c r="H233" s="39"/>
      <c r="I233" s="39"/>
      <c r="J233" s="39"/>
      <c r="K233" s="50">
        <f>SUM(G233)</f>
        <v>150000</v>
      </c>
      <c r="L233" s="50"/>
    </row>
    <row r="234" spans="1:12">
      <c r="A234" s="30">
        <v>45916</v>
      </c>
      <c r="B234" s="42" t="s">
        <v>41</v>
      </c>
      <c r="C234" s="31" t="s">
        <v>135</v>
      </c>
      <c r="D234" s="30" t="s">
        <v>139</v>
      </c>
      <c r="E234" s="31">
        <v>1</v>
      </c>
      <c r="F234" s="32" t="s">
        <v>140</v>
      </c>
      <c r="G234" s="33">
        <v>1500</v>
      </c>
      <c r="H234" s="34"/>
      <c r="I234" s="34"/>
      <c r="J234" s="34"/>
      <c r="K234" s="33">
        <f>G234</f>
        <v>1500</v>
      </c>
      <c r="L234" s="33"/>
    </row>
    <row r="235" spans="1:12">
      <c r="A235" s="40">
        <v>45917</v>
      </c>
      <c r="B235" s="31" t="s">
        <v>41</v>
      </c>
      <c r="C235" s="42" t="s">
        <v>65</v>
      </c>
      <c r="D235" s="40" t="s">
        <v>141</v>
      </c>
      <c r="E235" s="42">
        <v>600</v>
      </c>
      <c r="F235" s="43" t="s">
        <v>142</v>
      </c>
      <c r="G235" s="33">
        <v>13800</v>
      </c>
      <c r="H235" s="44"/>
      <c r="I235" s="44"/>
      <c r="J235" s="44"/>
      <c r="K235" s="33"/>
      <c r="L235" s="50">
        <v>13800</v>
      </c>
    </row>
    <row r="236" spans="1:12">
      <c r="A236" s="30">
        <v>45918</v>
      </c>
      <c r="B236" s="30" t="s">
        <v>41</v>
      </c>
      <c r="C236" s="31" t="s">
        <v>26</v>
      </c>
      <c r="D236" s="30" t="s">
        <v>42</v>
      </c>
      <c r="E236" s="31">
        <v>1</v>
      </c>
      <c r="F236" s="32" t="s">
        <v>143</v>
      </c>
      <c r="G236" s="33">
        <v>10000</v>
      </c>
      <c r="H236" s="34"/>
      <c r="I236" s="34"/>
      <c r="J236" s="34"/>
      <c r="K236" s="33"/>
      <c r="L236" s="33">
        <f>G236</f>
        <v>10000</v>
      </c>
    </row>
    <row r="237" spans="1:12">
      <c r="A237" s="30">
        <v>45918</v>
      </c>
      <c r="B237" s="46" t="s">
        <v>41</v>
      </c>
      <c r="C237" s="31" t="s">
        <v>38</v>
      </c>
      <c r="D237" s="30" t="s">
        <v>84</v>
      </c>
      <c r="E237" s="31">
        <v>10</v>
      </c>
      <c r="F237" s="32" t="s">
        <v>144</v>
      </c>
      <c r="G237" s="33">
        <f>8000*10</f>
        <v>80000</v>
      </c>
      <c r="H237" s="34"/>
      <c r="I237" s="34"/>
      <c r="J237" s="34"/>
      <c r="K237" s="33">
        <f>G237</f>
        <v>80000</v>
      </c>
      <c r="L237" s="33"/>
    </row>
    <row r="238" spans="1:12">
      <c r="A238" s="35">
        <v>45919</v>
      </c>
      <c r="B238" s="37" t="s">
        <v>41</v>
      </c>
      <c r="C238" s="48" t="s">
        <v>30</v>
      </c>
      <c r="D238" s="47" t="s">
        <v>33</v>
      </c>
      <c r="E238" s="48">
        <v>600</v>
      </c>
      <c r="F238" s="49" t="s">
        <v>34</v>
      </c>
      <c r="G238" s="52">
        <f>62400+31200</f>
        <v>93600</v>
      </c>
      <c r="H238" s="39"/>
      <c r="I238" s="39"/>
      <c r="J238" s="39"/>
      <c r="K238" s="52"/>
      <c r="L238" s="52"/>
    </row>
    <row r="239" spans="1:12" s="149" customFormat="1">
      <c r="A239" s="145">
        <v>45919</v>
      </c>
      <c r="B239" s="48" t="s">
        <v>41</v>
      </c>
      <c r="C239" s="48" t="s">
        <v>31</v>
      </c>
      <c r="D239" s="145" t="s">
        <v>33</v>
      </c>
      <c r="E239" s="48">
        <v>400</v>
      </c>
      <c r="F239" s="146" t="s">
        <v>115</v>
      </c>
      <c r="G239" s="50">
        <v>143200</v>
      </c>
      <c r="H239" s="148"/>
      <c r="I239" s="148"/>
      <c r="J239" s="148"/>
      <c r="K239" s="147"/>
      <c r="L239" s="50">
        <f>G238+G239</f>
        <v>236800</v>
      </c>
    </row>
    <row r="240" spans="1:12">
      <c r="A240" s="47">
        <v>45918</v>
      </c>
      <c r="B240" s="48" t="s">
        <v>41</v>
      </c>
      <c r="C240" s="48" t="s">
        <v>32</v>
      </c>
      <c r="D240" s="47" t="s">
        <v>119</v>
      </c>
      <c r="E240" s="48">
        <v>3</v>
      </c>
      <c r="F240" s="49" t="s">
        <v>146</v>
      </c>
      <c r="G240" s="50">
        <f>42261.5*3</f>
        <v>126784.5</v>
      </c>
      <c r="H240" s="39"/>
      <c r="I240" s="39"/>
      <c r="J240" s="39"/>
      <c r="K240" s="50">
        <f>G240</f>
        <v>126784.5</v>
      </c>
      <c r="L240" s="50">
        <v>0</v>
      </c>
    </row>
    <row r="241" spans="1:54" s="165" customFormat="1">
      <c r="A241" s="161">
        <v>45919</v>
      </c>
      <c r="B241" s="161" t="s">
        <v>41</v>
      </c>
      <c r="C241" s="162" t="s">
        <v>147</v>
      </c>
      <c r="D241" s="161" t="s">
        <v>147</v>
      </c>
      <c r="E241" s="162">
        <v>1</v>
      </c>
      <c r="F241" s="163" t="s">
        <v>148</v>
      </c>
      <c r="G241" s="164">
        <f>8925.94+415.87+2079.59</f>
        <v>11421.400000000001</v>
      </c>
      <c r="H241" s="164"/>
      <c r="I241" s="164"/>
      <c r="J241" s="164"/>
      <c r="K241" s="164">
        <v>0</v>
      </c>
      <c r="L241" s="164"/>
      <c r="M241" s="166">
        <f>G241</f>
        <v>11421.400000000001</v>
      </c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  <c r="AP241" s="167"/>
      <c r="AQ241" s="167"/>
      <c r="AR241" s="167"/>
      <c r="AS241" s="167"/>
      <c r="AT241" s="167"/>
      <c r="AU241" s="167"/>
      <c r="AV241" s="167"/>
      <c r="AW241" s="167"/>
      <c r="AX241" s="167"/>
      <c r="AY241" s="167"/>
      <c r="AZ241" s="167"/>
      <c r="BA241" s="167"/>
      <c r="BB241" s="167"/>
    </row>
    <row r="242" spans="1:54">
      <c r="A242" s="30">
        <v>45922</v>
      </c>
      <c r="B242" s="31" t="s">
        <v>41</v>
      </c>
      <c r="C242" s="31" t="s">
        <v>58</v>
      </c>
      <c r="D242" s="31" t="s">
        <v>59</v>
      </c>
      <c r="E242" s="31"/>
      <c r="F242" s="32" t="s">
        <v>150</v>
      </c>
      <c r="G242" s="33">
        <v>16000</v>
      </c>
      <c r="H242" s="33"/>
      <c r="I242" s="33"/>
      <c r="J242" s="33"/>
      <c r="K242" s="33"/>
      <c r="L242" s="33">
        <f>G242</f>
        <v>16000</v>
      </c>
    </row>
    <row r="243" spans="1:54">
      <c r="A243" s="66">
        <v>45922</v>
      </c>
      <c r="B243" s="66" t="s">
        <v>41</v>
      </c>
      <c r="C243" s="67" t="s">
        <v>62</v>
      </c>
      <c r="D243" s="66" t="s">
        <v>105</v>
      </c>
      <c r="E243" s="67"/>
      <c r="F243" s="68" t="s">
        <v>64</v>
      </c>
      <c r="G243" s="34">
        <v>7000</v>
      </c>
      <c r="H243" s="34"/>
      <c r="I243" s="34"/>
      <c r="J243" s="34"/>
      <c r="K243" s="34">
        <v>7000</v>
      </c>
      <c r="L243" s="34"/>
    </row>
    <row r="244" spans="1:54">
      <c r="A244" s="47">
        <v>45924</v>
      </c>
      <c r="B244" s="48" t="s">
        <v>41</v>
      </c>
      <c r="C244" s="31" t="s">
        <v>32</v>
      </c>
      <c r="D244" s="30" t="s">
        <v>47</v>
      </c>
      <c r="E244" s="31">
        <v>4</v>
      </c>
      <c r="F244" s="32" t="s">
        <v>151</v>
      </c>
      <c r="G244" s="50">
        <f>25000*4</f>
        <v>100000</v>
      </c>
      <c r="H244" s="39"/>
      <c r="I244" s="39"/>
      <c r="J244" s="39"/>
      <c r="K244" s="50">
        <f>SUM(G244)</f>
        <v>100000</v>
      </c>
      <c r="L244" s="50"/>
    </row>
    <row r="245" spans="1:54">
      <c r="A245" s="35">
        <v>45926</v>
      </c>
      <c r="B245" s="37" t="s">
        <v>41</v>
      </c>
      <c r="C245" s="48" t="s">
        <v>30</v>
      </c>
      <c r="D245" s="47" t="s">
        <v>33</v>
      </c>
      <c r="E245" s="48">
        <v>1200</v>
      </c>
      <c r="F245" s="49" t="s">
        <v>152</v>
      </c>
      <c r="G245" s="52">
        <f>62400*3</f>
        <v>187200</v>
      </c>
      <c r="H245" s="39"/>
      <c r="I245" s="39"/>
      <c r="J245" s="39"/>
      <c r="K245" s="52"/>
      <c r="L245" s="52"/>
    </row>
    <row r="246" spans="1:54" s="149" customFormat="1">
      <c r="A246" s="145">
        <v>45926</v>
      </c>
      <c r="B246" s="48" t="s">
        <v>41</v>
      </c>
      <c r="C246" s="48" t="s">
        <v>31</v>
      </c>
      <c r="D246" s="145" t="s">
        <v>33</v>
      </c>
      <c r="E246" s="48">
        <v>2000</v>
      </c>
      <c r="F246" s="146" t="s">
        <v>153</v>
      </c>
      <c r="G246" s="50">
        <f>143200*5</f>
        <v>716000</v>
      </c>
      <c r="H246" s="148"/>
      <c r="I246" s="148"/>
      <c r="J246" s="148"/>
      <c r="K246" s="147">
        <f>G245+G246-25000-62400</f>
        <v>815800</v>
      </c>
      <c r="L246" s="50"/>
    </row>
    <row r="247" spans="1:54">
      <c r="A247" s="40">
        <v>45929</v>
      </c>
      <c r="B247" s="31" t="s">
        <v>41</v>
      </c>
      <c r="C247" s="40" t="s">
        <v>106</v>
      </c>
      <c r="D247" s="40" t="s">
        <v>106</v>
      </c>
      <c r="E247" s="42">
        <v>2</v>
      </c>
      <c r="F247" s="43" t="s">
        <v>154</v>
      </c>
      <c r="G247" s="33">
        <f>30000*2</f>
        <v>60000</v>
      </c>
      <c r="H247" s="44"/>
      <c r="I247" s="44"/>
      <c r="J247" s="44"/>
      <c r="K247" s="33">
        <f>G247</f>
        <v>60000</v>
      </c>
      <c r="L247" s="40"/>
    </row>
    <row r="248" spans="1:54" s="165" customFormat="1" ht="15" thickBot="1">
      <c r="A248" s="161">
        <v>45930</v>
      </c>
      <c r="B248" s="161" t="s">
        <v>41</v>
      </c>
      <c r="C248" s="162" t="s">
        <v>147</v>
      </c>
      <c r="D248" s="161" t="s">
        <v>147</v>
      </c>
      <c r="E248" s="162">
        <v>1</v>
      </c>
      <c r="F248" s="163" t="s">
        <v>155</v>
      </c>
      <c r="G248" s="164">
        <f>20677+4894.54+7415.75+15750</f>
        <v>48737.29</v>
      </c>
      <c r="H248" s="164"/>
      <c r="I248" s="164"/>
      <c r="J248" s="164"/>
      <c r="K248" s="164">
        <v>0</v>
      </c>
      <c r="L248" s="164"/>
      <c r="M248" s="166">
        <f>G248</f>
        <v>48737.29</v>
      </c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67"/>
      <c r="AU248" s="167"/>
      <c r="AV248" s="167"/>
      <c r="AW248" s="167"/>
      <c r="AX248" s="167"/>
      <c r="AY248" s="167"/>
      <c r="AZ248" s="167"/>
      <c r="BA248" s="167"/>
      <c r="BB248" s="167"/>
    </row>
    <row r="249" spans="1:54">
      <c r="A249" s="103">
        <v>45930</v>
      </c>
      <c r="B249" s="104" t="s">
        <v>41</v>
      </c>
      <c r="C249" s="105" t="s">
        <v>88</v>
      </c>
      <c r="D249" s="104" t="s">
        <v>89</v>
      </c>
      <c r="E249" s="105"/>
      <c r="F249" s="106" t="s">
        <v>156</v>
      </c>
      <c r="G249" s="107">
        <v>1300000</v>
      </c>
      <c r="H249" s="107"/>
      <c r="I249" s="107"/>
      <c r="J249" s="107"/>
      <c r="K249" s="107">
        <v>800000</v>
      </c>
      <c r="L249" s="108">
        <v>500000</v>
      </c>
    </row>
    <row r="250" spans="1:54" ht="15" thickBot="1">
      <c r="A250" s="109">
        <v>45930</v>
      </c>
      <c r="B250" s="110" t="s">
        <v>41</v>
      </c>
      <c r="C250" s="111" t="s">
        <v>88</v>
      </c>
      <c r="D250" s="110" t="s">
        <v>91</v>
      </c>
      <c r="E250" s="111"/>
      <c r="F250" s="112" t="s">
        <v>157</v>
      </c>
      <c r="G250" s="113">
        <v>1300000</v>
      </c>
      <c r="H250" s="113"/>
      <c r="I250" s="113"/>
      <c r="J250" s="113"/>
      <c r="K250" s="113">
        <v>400000</v>
      </c>
      <c r="L250" s="114">
        <v>900000</v>
      </c>
    </row>
    <row r="251" spans="1:54">
      <c r="A251" s="47">
        <v>45854</v>
      </c>
      <c r="B251" s="53" t="s">
        <v>29</v>
      </c>
      <c r="C251" s="48" t="s">
        <v>31</v>
      </c>
      <c r="D251" s="47"/>
      <c r="E251" s="48"/>
      <c r="F251" s="49"/>
      <c r="G251" s="33"/>
      <c r="H251" s="51"/>
      <c r="I251" s="51"/>
      <c r="J251" s="51"/>
      <c r="K251" s="33"/>
      <c r="L251" s="33"/>
    </row>
    <row r="252" spans="1:54">
      <c r="A252" s="40">
        <v>45854</v>
      </c>
      <c r="B252" s="41" t="s">
        <v>29</v>
      </c>
      <c r="C252" s="42" t="s">
        <v>32</v>
      </c>
      <c r="D252" s="40"/>
      <c r="E252" s="42"/>
      <c r="F252" s="43"/>
      <c r="G252" s="33"/>
      <c r="H252" s="44"/>
      <c r="I252" s="44"/>
      <c r="J252" s="44"/>
      <c r="K252" s="33"/>
      <c r="L252" s="33"/>
    </row>
    <row r="253" spans="1:54">
      <c r="A253" s="30">
        <v>45853</v>
      </c>
      <c r="B253" s="46" t="s">
        <v>29</v>
      </c>
      <c r="C253" s="31" t="s">
        <v>38</v>
      </c>
      <c r="D253" s="30"/>
      <c r="E253" s="31"/>
      <c r="F253" s="32"/>
      <c r="G253" s="33"/>
      <c r="H253" s="34"/>
      <c r="I253" s="34"/>
      <c r="J253" s="34"/>
      <c r="K253" s="33"/>
      <c r="L253" s="33"/>
    </row>
    <row r="254" spans="1:54">
      <c r="A254" s="30">
        <v>45855</v>
      </c>
      <c r="B254" s="30" t="s">
        <v>41</v>
      </c>
      <c r="C254" s="31" t="s">
        <v>26</v>
      </c>
      <c r="D254" s="30"/>
      <c r="E254" s="31"/>
      <c r="F254" s="32"/>
      <c r="G254" s="33"/>
      <c r="H254" s="34"/>
      <c r="I254" s="34"/>
      <c r="J254" s="34"/>
      <c r="K254" s="33"/>
      <c r="L254" s="33"/>
    </row>
    <row r="255" spans="1:54">
      <c r="A255" s="30">
        <v>45855</v>
      </c>
      <c r="B255" s="30" t="s">
        <v>41</v>
      </c>
      <c r="C255" s="31" t="s">
        <v>46</v>
      </c>
      <c r="D255" s="30"/>
      <c r="E255" s="31"/>
      <c r="F255" s="32"/>
      <c r="G255" s="33"/>
      <c r="H255" s="34"/>
      <c r="I255" s="34"/>
      <c r="J255" s="34"/>
      <c r="K255" s="33"/>
      <c r="L255" s="33"/>
    </row>
    <row r="256" spans="1:54">
      <c r="A256" s="30">
        <v>45856</v>
      </c>
      <c r="B256" s="30" t="s">
        <v>41</v>
      </c>
      <c r="C256" s="31" t="s">
        <v>32</v>
      </c>
      <c r="D256" s="30"/>
      <c r="E256" s="31"/>
      <c r="F256" s="32"/>
      <c r="G256" s="33"/>
      <c r="H256" s="34"/>
      <c r="I256" s="34"/>
      <c r="J256" s="34"/>
      <c r="K256" s="33"/>
      <c r="L256" s="33"/>
    </row>
    <row r="257" spans="1:12">
      <c r="A257" s="30">
        <v>45859</v>
      </c>
      <c r="B257" s="31" t="s">
        <v>41</v>
      </c>
      <c r="C257" s="31" t="s">
        <v>58</v>
      </c>
      <c r="D257" s="31"/>
      <c r="E257" s="31"/>
      <c r="F257" s="32"/>
      <c r="G257" s="33"/>
      <c r="H257" s="33"/>
      <c r="I257" s="33"/>
      <c r="J257" s="33"/>
      <c r="K257" s="33"/>
      <c r="L257" s="33"/>
    </row>
    <row r="258" spans="1:12">
      <c r="A258" s="30">
        <v>45859</v>
      </c>
      <c r="B258" s="31" t="s">
        <v>41</v>
      </c>
      <c r="C258" s="31" t="s">
        <v>46</v>
      </c>
      <c r="D258" s="31"/>
      <c r="E258" s="31"/>
      <c r="F258" s="32"/>
      <c r="G258" s="33"/>
      <c r="H258" s="33"/>
      <c r="I258" s="33"/>
      <c r="J258" s="33"/>
      <c r="K258" s="33"/>
      <c r="L258" s="33"/>
    </row>
    <row r="259" spans="1:12">
      <c r="A259" s="35">
        <v>45863</v>
      </c>
      <c r="B259" s="37" t="s">
        <v>41</v>
      </c>
      <c r="C259" s="37" t="s">
        <v>30</v>
      </c>
      <c r="D259" s="35"/>
      <c r="E259" s="37"/>
      <c r="F259" s="38"/>
      <c r="G259" s="52"/>
      <c r="H259" s="34"/>
      <c r="I259" s="34"/>
      <c r="J259" s="34"/>
      <c r="K259" s="52"/>
      <c r="L259" s="52"/>
    </row>
    <row r="260" spans="1:12">
      <c r="A260" s="47">
        <v>45863</v>
      </c>
      <c r="B260" s="48" t="s">
        <v>41</v>
      </c>
      <c r="C260" s="48" t="s">
        <v>31</v>
      </c>
      <c r="D260" s="47"/>
      <c r="E260" s="48"/>
      <c r="F260" s="49"/>
      <c r="G260" s="50"/>
      <c r="H260" s="34"/>
      <c r="I260" s="34"/>
      <c r="J260" s="34"/>
      <c r="K260" s="50"/>
      <c r="L260" s="50"/>
    </row>
    <row r="261" spans="1:12">
      <c r="A261" s="40">
        <v>45863</v>
      </c>
      <c r="B261" s="42" t="s">
        <v>41</v>
      </c>
      <c r="C261" s="42" t="s">
        <v>32</v>
      </c>
      <c r="D261" s="40"/>
      <c r="E261" s="42"/>
      <c r="F261" s="43"/>
      <c r="G261" s="45"/>
      <c r="H261" s="34"/>
      <c r="I261" s="34"/>
      <c r="J261" s="34"/>
      <c r="K261" s="45"/>
      <c r="L261" s="45"/>
    </row>
    <row r="262" spans="1:12">
      <c r="A262" s="30">
        <v>45860</v>
      </c>
      <c r="B262" s="30" t="s">
        <v>41</v>
      </c>
      <c r="C262" s="31" t="s">
        <v>32</v>
      </c>
      <c r="D262" s="30"/>
      <c r="E262" s="31"/>
      <c r="F262" s="32"/>
      <c r="G262" s="33"/>
      <c r="H262" s="34"/>
      <c r="I262" s="34"/>
      <c r="J262" s="34"/>
      <c r="K262" s="33"/>
      <c r="L262" s="33"/>
    </row>
    <row r="263" spans="1:12">
      <c r="A263" s="93">
        <v>45862</v>
      </c>
      <c r="B263" s="93" t="s">
        <v>41</v>
      </c>
      <c r="C263" s="94" t="s">
        <v>82</v>
      </c>
      <c r="D263" s="93"/>
      <c r="E263" s="94"/>
      <c r="F263" s="95"/>
      <c r="G263" s="96"/>
      <c r="H263" s="96"/>
      <c r="I263" s="96"/>
      <c r="J263" s="96"/>
      <c r="K263" s="96"/>
      <c r="L263" s="96"/>
    </row>
    <row r="264" spans="1:12">
      <c r="A264" s="30">
        <v>45863</v>
      </c>
      <c r="B264" s="46" t="s">
        <v>41</v>
      </c>
      <c r="C264" s="31" t="s">
        <v>38</v>
      </c>
      <c r="D264" s="30"/>
      <c r="E264" s="31"/>
      <c r="F264" s="32"/>
      <c r="G264" s="33"/>
      <c r="H264" s="34"/>
      <c r="I264" s="34"/>
      <c r="J264" s="34"/>
      <c r="K264" s="33"/>
      <c r="L264" s="33"/>
    </row>
    <row r="265" spans="1:12">
      <c r="A265" s="35">
        <v>45863</v>
      </c>
      <c r="B265" s="37" t="s">
        <v>41</v>
      </c>
      <c r="C265" s="37" t="s">
        <v>30</v>
      </c>
      <c r="D265" s="35"/>
      <c r="E265" s="37"/>
      <c r="F265" s="38"/>
      <c r="G265" s="52"/>
      <c r="H265" s="34"/>
      <c r="I265" s="34"/>
      <c r="J265" s="34"/>
      <c r="K265" s="52"/>
      <c r="L265" s="52"/>
    </row>
    <row r="266" spans="1:12">
      <c r="A266" s="47">
        <v>45863</v>
      </c>
      <c r="B266" s="48" t="s">
        <v>41</v>
      </c>
      <c r="C266" s="48" t="s">
        <v>31</v>
      </c>
      <c r="D266" s="47"/>
      <c r="E266" s="48"/>
      <c r="F266" s="49"/>
      <c r="G266" s="50"/>
      <c r="H266" s="34"/>
      <c r="I266" s="34"/>
      <c r="J266" s="34"/>
      <c r="K266" s="45"/>
      <c r="L266" s="45"/>
    </row>
    <row r="267" spans="1:12">
      <c r="A267" s="35">
        <v>45866</v>
      </c>
      <c r="B267" s="37" t="s">
        <v>41</v>
      </c>
      <c r="C267" s="37" t="s">
        <v>30</v>
      </c>
      <c r="D267" s="35"/>
      <c r="E267" s="37"/>
      <c r="F267" s="38"/>
      <c r="G267" s="52"/>
      <c r="H267" s="34"/>
      <c r="I267" s="34"/>
      <c r="J267" s="34"/>
      <c r="K267" s="52"/>
      <c r="L267" s="52"/>
    </row>
    <row r="268" spans="1:12" ht="15" thickBot="1">
      <c r="A268" s="47">
        <v>45866</v>
      </c>
      <c r="B268" s="48" t="s">
        <v>41</v>
      </c>
      <c r="C268" s="48" t="s">
        <v>32</v>
      </c>
      <c r="D268" s="47"/>
      <c r="E268" s="48"/>
      <c r="F268" s="49"/>
      <c r="G268" s="50"/>
      <c r="H268" s="39"/>
      <c r="I268" s="39"/>
      <c r="J268" s="39"/>
      <c r="K268" s="50"/>
      <c r="L268" s="50"/>
    </row>
    <row r="269" spans="1:12">
      <c r="A269" s="103">
        <v>45869</v>
      </c>
      <c r="B269" s="104" t="s">
        <v>41</v>
      </c>
      <c r="C269" s="105" t="s">
        <v>88</v>
      </c>
      <c r="D269" s="104"/>
      <c r="E269" s="105"/>
      <c r="F269" s="106"/>
      <c r="G269" s="107"/>
      <c r="H269" s="107"/>
      <c r="I269" s="107"/>
      <c r="J269" s="107"/>
      <c r="K269" s="107"/>
      <c r="L269" s="108"/>
    </row>
    <row r="270" spans="1:12" ht="15" thickBot="1">
      <c r="A270" s="109">
        <v>45869</v>
      </c>
      <c r="B270" s="110" t="s">
        <v>41</v>
      </c>
      <c r="C270" s="111" t="s">
        <v>88</v>
      </c>
      <c r="D270" s="110"/>
      <c r="E270" s="111"/>
      <c r="F270" s="112"/>
      <c r="G270" s="113"/>
      <c r="H270" s="113"/>
      <c r="I270" s="113"/>
      <c r="J270" s="113"/>
      <c r="K270" s="113"/>
      <c r="L270" s="114"/>
    </row>
    <row r="271" spans="1:12">
      <c r="A271" s="40"/>
      <c r="B271" s="40"/>
      <c r="C271" s="42"/>
      <c r="D271" s="40"/>
      <c r="E271" s="42"/>
      <c r="F271" s="43"/>
      <c r="G271" s="45"/>
      <c r="H271" s="44"/>
      <c r="I271" s="44"/>
      <c r="J271" s="44"/>
      <c r="K271" s="45"/>
      <c r="L271" s="102"/>
    </row>
    <row r="272" spans="1:12">
      <c r="A272" s="30"/>
      <c r="B272" s="30"/>
      <c r="C272" s="31"/>
      <c r="D272" s="30"/>
      <c r="E272" s="31"/>
      <c r="F272" s="32"/>
      <c r="G272" s="56"/>
      <c r="H272" s="34"/>
      <c r="I272" s="34"/>
      <c r="J272" s="34"/>
      <c r="K272" s="31"/>
      <c r="L272" s="26"/>
    </row>
    <row r="273" spans="1:12" ht="15" thickBot="1">
      <c r="A273" s="79" t="s">
        <v>27</v>
      </c>
      <c r="B273" s="79"/>
      <c r="C273" s="79"/>
      <c r="D273" s="79"/>
      <c r="E273" s="79"/>
      <c r="F273" s="79"/>
      <c r="G273" s="54"/>
      <c r="H273" s="55"/>
      <c r="I273" s="55"/>
      <c r="J273" s="55"/>
      <c r="K273" s="54"/>
    </row>
    <row r="274" spans="1:12">
      <c r="A274" s="30"/>
      <c r="B274" s="30"/>
      <c r="C274" s="31"/>
      <c r="D274" s="30"/>
      <c r="E274" s="31"/>
      <c r="F274" s="32"/>
      <c r="G274" s="33"/>
      <c r="H274" s="34"/>
      <c r="I274" s="34"/>
      <c r="J274" s="34"/>
      <c r="K274" s="56"/>
    </row>
    <row r="275" spans="1:12" ht="15" thickBot="1"/>
    <row r="276" spans="1:12" ht="15" thickBot="1">
      <c r="F276" s="58"/>
      <c r="G276" s="59"/>
      <c r="H276" s="60"/>
      <c r="I276" s="60"/>
      <c r="J276" s="60"/>
      <c r="K276" s="61"/>
      <c r="L276" s="61"/>
    </row>
    <row r="277" spans="1:12" ht="15" thickBot="1">
      <c r="B277" s="62"/>
      <c r="F277" s="63"/>
      <c r="G277" s="64"/>
      <c r="H277" s="65"/>
      <c r="I277" s="65"/>
      <c r="J277" s="65"/>
      <c r="K277" s="64"/>
      <c r="L277" s="64"/>
    </row>
    <row r="280" spans="1:12">
      <c r="H280" s="57">
        <f>+H277/0.105</f>
        <v>0</v>
      </c>
      <c r="I280" s="57">
        <f>+I277/0.105</f>
        <v>0</v>
      </c>
    </row>
  </sheetData>
  <mergeCells count="1">
    <mergeCell ref="K2:M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4889-624C-4D32-B975-5E7FB1C65C85}">
  <dimension ref="A1:L44"/>
  <sheetViews>
    <sheetView topLeftCell="A10" workbookViewId="0">
      <selection activeCell="K17" sqref="K17"/>
    </sheetView>
  </sheetViews>
  <sheetFormatPr baseColWidth="10" defaultRowHeight="14.25"/>
  <cols>
    <col min="1" max="1" width="13.5" customWidth="1"/>
    <col min="2" max="2" width="13.75" customWidth="1"/>
    <col min="3" max="3" width="12.375" customWidth="1"/>
    <col min="4" max="4" width="8.375" customWidth="1"/>
    <col min="5" max="5" width="18.125" customWidth="1"/>
    <col min="6" max="6" width="17.375" customWidth="1"/>
    <col min="7" max="7" width="15.625" customWidth="1"/>
    <col min="8" max="8" width="16.75" customWidth="1"/>
    <col min="9" max="9" width="6" customWidth="1"/>
    <col min="10" max="10" width="16.75" customWidth="1"/>
    <col min="11" max="11" width="17.875" customWidth="1"/>
    <col min="12" max="12" width="24.125" customWidth="1"/>
  </cols>
  <sheetData>
    <row r="1" spans="1:11" ht="20.25">
      <c r="A1" s="233" t="s">
        <v>9</v>
      </c>
      <c r="B1" s="233"/>
      <c r="C1" s="233"/>
      <c r="D1" s="233"/>
      <c r="E1" s="233"/>
      <c r="F1" s="233"/>
      <c r="G1" s="134"/>
    </row>
    <row r="2" spans="1:11" ht="21" thickBot="1">
      <c r="A2" s="217"/>
      <c r="B2" s="232" t="s">
        <v>0</v>
      </c>
      <c r="C2" s="232"/>
      <c r="D2" s="217"/>
      <c r="E2" s="236" t="s">
        <v>7</v>
      </c>
      <c r="F2" s="237"/>
      <c r="G2" s="238"/>
      <c r="H2" s="217" t="s">
        <v>3</v>
      </c>
      <c r="I2" s="15"/>
      <c r="J2" s="234" t="s">
        <v>197</v>
      </c>
      <c r="K2" s="234"/>
    </row>
    <row r="3" spans="1:11" ht="16.5" thickBot="1">
      <c r="A3" s="16" t="s">
        <v>8</v>
      </c>
      <c r="B3" s="16" t="s">
        <v>1</v>
      </c>
      <c r="C3" s="16" t="s">
        <v>2</v>
      </c>
      <c r="D3" s="16" t="s">
        <v>5</v>
      </c>
      <c r="E3" s="16" t="s">
        <v>4</v>
      </c>
      <c r="F3" s="137" t="s">
        <v>6</v>
      </c>
      <c r="G3" s="139" t="s">
        <v>123</v>
      </c>
      <c r="H3" s="138" t="s">
        <v>13</v>
      </c>
      <c r="I3" s="24"/>
    </row>
    <row r="4" spans="1:11" ht="21" customHeight="1" thickBot="1">
      <c r="A4" s="14">
        <v>46023</v>
      </c>
      <c r="B4" s="8"/>
      <c r="C4" s="8"/>
      <c r="D4" s="8"/>
      <c r="E4" s="69"/>
      <c r="F4" s="17"/>
      <c r="G4" s="135"/>
      <c r="H4" s="20">
        <f>E4+F4</f>
        <v>0</v>
      </c>
      <c r="I4" s="28"/>
      <c r="J4" s="11" t="s">
        <v>10</v>
      </c>
      <c r="K4" s="12">
        <f>SUMIF(F4:F31,"&gt;0")</f>
        <v>429400</v>
      </c>
    </row>
    <row r="5" spans="1:11" ht="21" customHeight="1" thickBot="1">
      <c r="A5" s="14">
        <v>46024</v>
      </c>
      <c r="B5" s="8"/>
      <c r="C5" s="8"/>
      <c r="D5" s="8"/>
      <c r="E5" s="69"/>
      <c r="F5" s="18"/>
      <c r="G5" s="135"/>
      <c r="H5" s="20">
        <f t="shared" ref="H5:H18" si="0">E5+F5</f>
        <v>0</v>
      </c>
      <c r="I5" s="28"/>
      <c r="J5" s="11" t="s">
        <v>11</v>
      </c>
      <c r="K5" s="13">
        <f>SUMIF(E4:E31,"&gt;0")</f>
        <v>605100</v>
      </c>
    </row>
    <row r="6" spans="1:11" ht="21" customHeight="1" thickBot="1">
      <c r="A6" s="14">
        <v>46025</v>
      </c>
      <c r="B6" s="8">
        <f>3+20+4+6+2</f>
        <v>35</v>
      </c>
      <c r="C6" s="8">
        <f>2+3+2+6+4</f>
        <v>17</v>
      </c>
      <c r="D6" s="8">
        <v>3</v>
      </c>
      <c r="E6" s="69">
        <f>2600+3000+20000+13800</f>
        <v>39400</v>
      </c>
      <c r="F6" s="18">
        <f>6900+6600+7200</f>
        <v>20700</v>
      </c>
      <c r="G6" s="135"/>
      <c r="H6" s="20">
        <f t="shared" si="0"/>
        <v>60100</v>
      </c>
      <c r="I6" s="28"/>
      <c r="J6" s="11" t="s">
        <v>124</v>
      </c>
      <c r="K6" s="136">
        <f>SUMIF(G4:G34,"&gt;0")</f>
        <v>569300</v>
      </c>
    </row>
    <row r="7" spans="1:11" ht="21" customHeight="1" thickBot="1">
      <c r="A7" s="14">
        <v>46026</v>
      </c>
      <c r="B7" s="8">
        <f>6+6+4+12+6+24</f>
        <v>58</v>
      </c>
      <c r="C7" s="8">
        <f>4+6+4+4+1+4+10</f>
        <v>33</v>
      </c>
      <c r="D7" s="8">
        <f>3+2</f>
        <v>5</v>
      </c>
      <c r="E7" s="69">
        <f>13800+7600+20800+6000+2400</f>
        <v>50600</v>
      </c>
      <c r="F7" s="19">
        <f>3900+9000+13000</f>
        <v>25900</v>
      </c>
      <c r="G7" s="135">
        <f>7600+7100+31200</f>
        <v>45900</v>
      </c>
      <c r="H7" s="20">
        <f t="shared" si="0"/>
        <v>76500</v>
      </c>
      <c r="I7" s="28"/>
      <c r="J7" s="179" t="s">
        <v>3</v>
      </c>
      <c r="K7" s="131">
        <f>K4+K5+K6</f>
        <v>1603800</v>
      </c>
    </row>
    <row r="8" spans="1:11" ht="21" customHeight="1" thickBot="1">
      <c r="A8" s="14">
        <v>46027</v>
      </c>
      <c r="B8" s="8"/>
      <c r="C8" s="8"/>
      <c r="D8" s="8"/>
      <c r="E8" s="69"/>
      <c r="F8" s="19"/>
      <c r="G8" s="136"/>
      <c r="H8" s="20">
        <f t="shared" si="0"/>
        <v>0</v>
      </c>
    </row>
    <row r="9" spans="1:11" ht="21" customHeight="1" thickBot="1">
      <c r="A9" s="14">
        <v>46028</v>
      </c>
      <c r="B9" s="8">
        <v>8</v>
      </c>
      <c r="C9" s="8">
        <f>4+12</f>
        <v>16</v>
      </c>
      <c r="D9" s="8"/>
      <c r="E9" s="69"/>
      <c r="F9" s="100">
        <v>15600</v>
      </c>
      <c r="G9" s="136">
        <v>18000</v>
      </c>
      <c r="H9" s="20">
        <f t="shared" si="0"/>
        <v>15600</v>
      </c>
      <c r="J9" s="234" t="s">
        <v>14</v>
      </c>
      <c r="K9" s="234"/>
    </row>
    <row r="10" spans="1:11" ht="21" customHeight="1" thickBot="1">
      <c r="A10" s="14">
        <v>46029</v>
      </c>
      <c r="B10" s="8"/>
      <c r="C10" s="8"/>
      <c r="D10" s="8"/>
      <c r="E10" s="69"/>
      <c r="F10" s="100"/>
      <c r="G10" s="136"/>
      <c r="H10" s="20">
        <f>E10+F10</f>
        <v>0</v>
      </c>
      <c r="J10" s="27" t="s">
        <v>1</v>
      </c>
      <c r="K10" s="27" t="s">
        <v>2</v>
      </c>
    </row>
    <row r="11" spans="1:11" ht="21" customHeight="1" thickBot="1">
      <c r="A11" s="14">
        <v>46030</v>
      </c>
      <c r="B11" s="8">
        <f>3+8+3+4</f>
        <v>18</v>
      </c>
      <c r="C11" s="8">
        <f>1+3+8</f>
        <v>12</v>
      </c>
      <c r="D11" s="8">
        <v>3</v>
      </c>
      <c r="E11" s="69">
        <f>8000+3000+14400</f>
        <v>25400</v>
      </c>
      <c r="F11" s="100">
        <v>43000</v>
      </c>
      <c r="G11" s="136">
        <v>9600</v>
      </c>
      <c r="H11" s="20">
        <f t="shared" si="0"/>
        <v>68400</v>
      </c>
      <c r="J11" s="29">
        <f>SUM(B4:B33)</f>
        <v>745</v>
      </c>
      <c r="K11" s="29">
        <f>SUM(C4:C33)</f>
        <v>504</v>
      </c>
    </row>
    <row r="12" spans="1:11" ht="21" customHeight="1" thickBot="1">
      <c r="A12" s="14">
        <v>46031</v>
      </c>
      <c r="B12" s="8">
        <f>1+8+3+9+6</f>
        <v>27</v>
      </c>
      <c r="C12" s="8">
        <f>2+1+3+3+12</f>
        <v>21</v>
      </c>
      <c r="D12" s="8">
        <v>3</v>
      </c>
      <c r="E12" s="69">
        <f>3600+6900+21600</f>
        <v>32100</v>
      </c>
      <c r="F12" s="100">
        <v>8000</v>
      </c>
      <c r="G12" s="136">
        <f>6700+17400</f>
        <v>24100</v>
      </c>
      <c r="H12" s="20">
        <f t="shared" si="0"/>
        <v>40100</v>
      </c>
    </row>
    <row r="13" spans="1:11" ht="21" customHeight="1" thickBot="1">
      <c r="A13" s="14">
        <v>46032</v>
      </c>
      <c r="B13" s="8">
        <f>1+4+12+24+6</f>
        <v>47</v>
      </c>
      <c r="C13" s="8">
        <f>4+1+6+6</f>
        <v>17</v>
      </c>
      <c r="D13" s="8"/>
      <c r="E13" s="69">
        <f>6200+6000</f>
        <v>12200</v>
      </c>
      <c r="F13" s="100">
        <f>5200+7800</f>
        <v>13000</v>
      </c>
      <c r="G13" s="136">
        <f>27000+31200</f>
        <v>58200</v>
      </c>
      <c r="H13" s="20">
        <f t="shared" si="0"/>
        <v>25200</v>
      </c>
    </row>
    <row r="14" spans="1:11" ht="21" customHeight="1" thickBot="1">
      <c r="A14" s="14">
        <v>46033</v>
      </c>
      <c r="B14" s="8">
        <f>8+2+3+12+1</f>
        <v>26</v>
      </c>
      <c r="C14" s="8">
        <f>2+9+1</f>
        <v>12</v>
      </c>
      <c r="D14" s="8"/>
      <c r="E14" s="69">
        <f>10600+3000+2300+15600</f>
        <v>31500</v>
      </c>
      <c r="F14" s="100"/>
      <c r="G14" s="136">
        <v>21000</v>
      </c>
      <c r="H14" s="20">
        <f t="shared" si="0"/>
        <v>31500</v>
      </c>
      <c r="J14" s="97"/>
      <c r="K14" s="131"/>
    </row>
    <row r="15" spans="1:11" ht="21" customHeight="1" thickBot="1">
      <c r="A15" s="14">
        <v>46034</v>
      </c>
      <c r="B15" s="8"/>
      <c r="C15" s="8"/>
      <c r="D15" s="8"/>
      <c r="E15" s="69"/>
      <c r="F15" s="19"/>
      <c r="G15" s="136"/>
      <c r="H15" s="20">
        <f t="shared" si="0"/>
        <v>0</v>
      </c>
      <c r="K15" s="131"/>
    </row>
    <row r="16" spans="1:11" ht="21" customHeight="1" thickBot="1">
      <c r="A16" s="14">
        <v>46035</v>
      </c>
      <c r="B16" s="8">
        <v>1</v>
      </c>
      <c r="C16" s="8">
        <v>3</v>
      </c>
      <c r="D16" s="8"/>
      <c r="E16" s="69">
        <v>4900</v>
      </c>
      <c r="F16" s="19"/>
      <c r="G16" s="136"/>
      <c r="H16" s="20">
        <f t="shared" si="0"/>
        <v>4900</v>
      </c>
    </row>
    <row r="17" spans="1:12" ht="21" customHeight="1" thickBot="1">
      <c r="A17" s="14">
        <v>46036</v>
      </c>
      <c r="B17" s="8">
        <v>2</v>
      </c>
      <c r="C17" s="8">
        <f>12+2</f>
        <v>14</v>
      </c>
      <c r="D17" s="8"/>
      <c r="E17" s="69">
        <v>15600</v>
      </c>
      <c r="F17" s="19">
        <v>4600</v>
      </c>
      <c r="G17" s="136"/>
      <c r="H17" s="20">
        <f t="shared" si="0"/>
        <v>20200</v>
      </c>
      <c r="L17" s="131"/>
    </row>
    <row r="18" spans="1:12" ht="21" customHeight="1" thickBot="1">
      <c r="A18" s="14">
        <v>46037</v>
      </c>
      <c r="B18" s="8">
        <f>4+6+6+3+6+3+1+4</f>
        <v>33</v>
      </c>
      <c r="C18" s="8">
        <f>8+3+3+3</f>
        <v>17</v>
      </c>
      <c r="D18" s="8">
        <v>1</v>
      </c>
      <c r="E18" s="69">
        <f>6000+6000+4000+1200</f>
        <v>17200</v>
      </c>
      <c r="F18" s="19">
        <f>14400+9900+6900+4900</f>
        <v>36100</v>
      </c>
      <c r="G18" s="136"/>
      <c r="H18" s="20">
        <f t="shared" si="0"/>
        <v>53300</v>
      </c>
    </row>
    <row r="19" spans="1:12" ht="21" customHeight="1" thickBot="1">
      <c r="A19" s="14">
        <v>46038</v>
      </c>
      <c r="B19" s="8">
        <f>2+12+6+12+1</f>
        <v>33</v>
      </c>
      <c r="C19" s="8">
        <f>2+6+12+1</f>
        <v>21</v>
      </c>
      <c r="D19" s="8"/>
      <c r="E19" s="69"/>
      <c r="F19" s="19">
        <f>4600+27600+2300</f>
        <v>34500</v>
      </c>
      <c r="G19" s="136">
        <f>15600+19200</f>
        <v>34800</v>
      </c>
      <c r="H19" s="20">
        <f>E19+F19</f>
        <v>34500</v>
      </c>
    </row>
    <row r="20" spans="1:12" ht="21" customHeight="1" thickBot="1">
      <c r="A20" s="14">
        <v>46039</v>
      </c>
      <c r="B20" s="8">
        <f>3+6+6+5+8+2</f>
        <v>30</v>
      </c>
      <c r="C20" s="8">
        <f>6+3+5+4+1</f>
        <v>19</v>
      </c>
      <c r="D20" s="8">
        <v>1</v>
      </c>
      <c r="E20" s="69">
        <f>6900+6000+11500+13200+3300</f>
        <v>40900</v>
      </c>
      <c r="F20" s="19">
        <f>7800+7200</f>
        <v>15000</v>
      </c>
      <c r="G20" s="136"/>
      <c r="H20" s="20">
        <f>E20+F20</f>
        <v>55900</v>
      </c>
    </row>
    <row r="21" spans="1:12" ht="21" customHeight="1" thickBot="1">
      <c r="A21" s="14">
        <v>46040</v>
      </c>
      <c r="B21" s="8">
        <f>6+6+12+2+6+4+3+18+6+12+6+3+6+4+3+3+2</f>
        <v>102</v>
      </c>
      <c r="C21" s="8">
        <f>4+4+6+6+6+8+3+3+6+3+3+4+4</f>
        <v>60</v>
      </c>
      <c r="D21" s="8">
        <f>1+1+3</f>
        <v>5</v>
      </c>
      <c r="E21" s="69">
        <f>13800+7800+12000+4000+6900+19200+9900+7800+6000+6300+5200+6900+10200</f>
        <v>116000</v>
      </c>
      <c r="F21" s="19">
        <f>5200+5200+13800+2000+10400+6000+8200</f>
        <v>50800</v>
      </c>
      <c r="G21" s="136">
        <f>7800+15600</f>
        <v>23400</v>
      </c>
      <c r="H21" s="20">
        <f t="shared" ref="H21:H29" si="1">E21+F21</f>
        <v>166800</v>
      </c>
    </row>
    <row r="22" spans="1:12" ht="21" customHeight="1" thickBot="1">
      <c r="A22" s="14">
        <v>46041</v>
      </c>
      <c r="B22" s="8"/>
      <c r="C22" s="8"/>
      <c r="D22" s="8"/>
      <c r="E22" s="69"/>
      <c r="F22" s="19"/>
      <c r="G22" s="136"/>
      <c r="H22" s="20">
        <f t="shared" si="1"/>
        <v>0</v>
      </c>
    </row>
    <row r="23" spans="1:12" ht="21" customHeight="1" thickBot="1">
      <c r="A23" s="14">
        <v>46042</v>
      </c>
      <c r="B23" s="8">
        <f>3+2+8+12+12+3</f>
        <v>40</v>
      </c>
      <c r="C23" s="8">
        <f>3+10+3</f>
        <v>16</v>
      </c>
      <c r="D23" s="8">
        <v>3</v>
      </c>
      <c r="E23" s="69">
        <f>15000+6900</f>
        <v>21900</v>
      </c>
      <c r="F23" s="19">
        <f>9900+12000+12000</f>
        <v>33900</v>
      </c>
      <c r="G23" s="136">
        <v>10400</v>
      </c>
      <c r="H23" s="20">
        <f t="shared" si="1"/>
        <v>55800</v>
      </c>
    </row>
    <row r="24" spans="1:12" ht="21" customHeight="1" thickBot="1">
      <c r="A24" s="14">
        <v>46043</v>
      </c>
      <c r="B24" s="8">
        <f>3+3+2+4+3</f>
        <v>15</v>
      </c>
      <c r="C24" s="8">
        <f>3+2+3+12+6+1</f>
        <v>27</v>
      </c>
      <c r="D24" s="8">
        <f>2+2+1</f>
        <v>5</v>
      </c>
      <c r="E24" s="69">
        <f>2000+6400+5800</f>
        <v>14200</v>
      </c>
      <c r="F24" s="19">
        <f>2600+6900+15600+9000</f>
        <v>34100</v>
      </c>
      <c r="G24" s="136">
        <v>12800</v>
      </c>
      <c r="H24" s="20">
        <f t="shared" si="1"/>
        <v>48300</v>
      </c>
    </row>
    <row r="25" spans="1:12" ht="21" customHeight="1" thickBot="1">
      <c r="A25" s="14">
        <v>46044</v>
      </c>
      <c r="B25" s="8">
        <f>4+6+3+2+2+6</f>
        <v>23</v>
      </c>
      <c r="C25" s="8">
        <f>4+2</f>
        <v>6</v>
      </c>
      <c r="D25" s="8">
        <v>1</v>
      </c>
      <c r="E25" s="69">
        <f>4000+7200+5800</f>
        <v>17000</v>
      </c>
      <c r="F25" s="19">
        <v>3000</v>
      </c>
      <c r="G25" s="136">
        <f>7800+7800</f>
        <v>15600</v>
      </c>
      <c r="H25" s="20">
        <f t="shared" si="1"/>
        <v>20000</v>
      </c>
    </row>
    <row r="26" spans="1:12" ht="21" customHeight="1" thickBot="1">
      <c r="A26" s="14">
        <v>46045</v>
      </c>
      <c r="B26" s="8">
        <f>12+12+2</f>
        <v>26</v>
      </c>
      <c r="C26" s="8">
        <f>8+6+4+10</f>
        <v>28</v>
      </c>
      <c r="D26" s="8"/>
      <c r="E26" s="69">
        <v>10400</v>
      </c>
      <c r="F26" s="19">
        <f>12000+5200+15000</f>
        <v>32200</v>
      </c>
      <c r="G26" s="136">
        <v>27000</v>
      </c>
      <c r="H26" s="20">
        <f t="shared" si="1"/>
        <v>42600</v>
      </c>
    </row>
    <row r="27" spans="1:12" ht="21" customHeight="1" thickBot="1">
      <c r="A27" s="14">
        <v>46046</v>
      </c>
      <c r="B27" s="8">
        <f>12+6+8+6+18</f>
        <v>50</v>
      </c>
      <c r="C27" s="8">
        <f>6+6+6</f>
        <v>18</v>
      </c>
      <c r="D27" s="8"/>
      <c r="E27" s="69">
        <f>3000+15800</f>
        <v>18800</v>
      </c>
      <c r="F27" s="19">
        <v>18000</v>
      </c>
      <c r="G27" s="136">
        <f>15600+19200+19200</f>
        <v>54000</v>
      </c>
      <c r="H27" s="20">
        <f t="shared" si="1"/>
        <v>36800</v>
      </c>
    </row>
    <row r="28" spans="1:12" ht="21" customHeight="1" thickBot="1">
      <c r="A28" s="14">
        <v>46047</v>
      </c>
      <c r="B28" s="8">
        <f>6+6+14+6+3+8+3+6+6+5+18</f>
        <v>81</v>
      </c>
      <c r="C28" s="8">
        <f>12+6+12+6+6+3+3+12</f>
        <v>60</v>
      </c>
      <c r="D28" s="8">
        <v>1</v>
      </c>
      <c r="E28" s="69">
        <f>15600+13800+19200+14000+3000+21600+5000</f>
        <v>92200</v>
      </c>
      <c r="F28" s="19">
        <f>15000+18000</f>
        <v>33000</v>
      </c>
      <c r="G28" s="136">
        <f>22800+9600+10400+13500</f>
        <v>56300</v>
      </c>
      <c r="H28" s="20">
        <f t="shared" si="1"/>
        <v>125200</v>
      </c>
    </row>
    <row r="29" spans="1:12" ht="21" customHeight="1" thickBot="1">
      <c r="A29" s="14">
        <v>46048</v>
      </c>
      <c r="B29" s="8"/>
      <c r="C29" s="8"/>
      <c r="D29" s="8"/>
      <c r="E29" s="69"/>
      <c r="F29" s="19"/>
      <c r="G29" s="136"/>
      <c r="H29" s="20">
        <f t="shared" si="1"/>
        <v>0</v>
      </c>
    </row>
    <row r="30" spans="1:12" ht="21" customHeight="1" thickBot="1">
      <c r="A30" s="14">
        <v>46049</v>
      </c>
      <c r="B30" s="8">
        <f>8+6+6</f>
        <v>20</v>
      </c>
      <c r="C30" s="8">
        <f>6+6+12+4+4</f>
        <v>32</v>
      </c>
      <c r="D30" s="8"/>
      <c r="E30" s="69">
        <f>22800+5200</f>
        <v>28000</v>
      </c>
      <c r="F30" s="19">
        <v>8000</v>
      </c>
      <c r="G30" s="136">
        <f>19200+19200+7600</f>
        <v>46000</v>
      </c>
      <c r="H30" s="20">
        <f>E30+F30</f>
        <v>36000</v>
      </c>
    </row>
    <row r="31" spans="1:12" ht="21" customHeight="1" thickBot="1">
      <c r="A31" s="14">
        <v>46050</v>
      </c>
      <c r="B31" s="8">
        <f>3+6+12</f>
        <v>21</v>
      </c>
      <c r="C31" s="8">
        <f>3+3</f>
        <v>6</v>
      </c>
      <c r="D31" s="8"/>
      <c r="E31" s="69">
        <f>6900+3900+6000</f>
        <v>16800</v>
      </c>
      <c r="F31" s="19"/>
      <c r="G31" s="136">
        <v>15600</v>
      </c>
      <c r="H31" s="20">
        <f>E31+F31</f>
        <v>16800</v>
      </c>
    </row>
    <row r="32" spans="1:12" ht="21" customHeight="1" thickBot="1">
      <c r="A32" s="14">
        <v>46051</v>
      </c>
      <c r="B32" s="8">
        <f>4+3+6+6</f>
        <v>19</v>
      </c>
      <c r="C32" s="8">
        <f>12+12+4+3+6</f>
        <v>37</v>
      </c>
      <c r="D32" s="8"/>
      <c r="E32" s="69">
        <f>15600+5200+4000+6900+6000</f>
        <v>37700</v>
      </c>
      <c r="F32" s="19">
        <v>15600</v>
      </c>
      <c r="G32" s="136">
        <v>19200</v>
      </c>
      <c r="H32" s="20">
        <f>E32+F32</f>
        <v>53300</v>
      </c>
    </row>
    <row r="33" spans="1:8" ht="21" customHeight="1" thickBot="1">
      <c r="A33" s="14">
        <v>46052</v>
      </c>
      <c r="B33" s="8">
        <f>12+12+6</f>
        <v>30</v>
      </c>
      <c r="C33" s="8">
        <f>4+2+6</f>
        <v>12</v>
      </c>
      <c r="D33" s="8"/>
      <c r="E33" s="69">
        <v>13800</v>
      </c>
      <c r="F33" s="19">
        <f>12000+2600</f>
        <v>14600</v>
      </c>
      <c r="G33" s="136">
        <f>7600+15600</f>
        <v>23200</v>
      </c>
      <c r="H33" s="20">
        <f>E33+F33</f>
        <v>28400</v>
      </c>
    </row>
    <row r="34" spans="1:8" ht="21" customHeight="1" thickBot="1">
      <c r="A34" s="14">
        <v>46053</v>
      </c>
      <c r="B34" s="8">
        <f>3+3+6+9+18+1</f>
        <v>40</v>
      </c>
      <c r="C34" s="8">
        <f>5+3+12+3</f>
        <v>23</v>
      </c>
      <c r="D34" s="8"/>
      <c r="E34" s="69">
        <f>6900+3000+1000</f>
        <v>10900</v>
      </c>
      <c r="F34" s="19">
        <v>21600</v>
      </c>
      <c r="G34" s="136">
        <f>13400+17400+23400</f>
        <v>54200</v>
      </c>
      <c r="H34" s="20">
        <f>E34+F34</f>
        <v>32500</v>
      </c>
    </row>
    <row r="35" spans="1:8" ht="21" customHeight="1">
      <c r="A35" s="14"/>
      <c r="B35" s="9"/>
      <c r="C35" s="9"/>
      <c r="D35" s="9"/>
      <c r="E35" s="9"/>
      <c r="F35" s="9"/>
      <c r="G35" s="9"/>
    </row>
    <row r="36" spans="1:8" ht="21" customHeight="1">
      <c r="A36" s="14"/>
      <c r="B36" s="9"/>
      <c r="C36" s="9"/>
      <c r="D36" s="9"/>
      <c r="E36" s="9"/>
      <c r="F36" s="9"/>
      <c r="G36" s="9"/>
    </row>
    <row r="37" spans="1:8" ht="21" customHeight="1">
      <c r="A37" s="14"/>
      <c r="B37" s="9"/>
      <c r="C37" s="9"/>
      <c r="D37" s="9"/>
      <c r="E37" s="9"/>
      <c r="F37" s="9"/>
      <c r="G37" s="9"/>
    </row>
    <row r="38" spans="1:8" ht="21" customHeight="1">
      <c r="A38" s="14"/>
      <c r="B38" s="9"/>
      <c r="C38" s="9"/>
      <c r="D38" s="9"/>
      <c r="E38" s="9"/>
      <c r="F38" s="9"/>
      <c r="G38" s="9"/>
    </row>
    <row r="39" spans="1:8" ht="21" customHeight="1">
      <c r="A39" s="14"/>
      <c r="B39" s="9"/>
      <c r="C39" s="9"/>
      <c r="D39" s="9"/>
      <c r="E39" s="9"/>
      <c r="F39" s="9"/>
      <c r="G39" s="9"/>
    </row>
    <row r="40" spans="1:8" ht="21" customHeight="1">
      <c r="A40" s="14"/>
      <c r="B40" s="9"/>
      <c r="C40" s="9"/>
      <c r="D40" s="9"/>
      <c r="E40" s="9"/>
      <c r="F40" s="9"/>
      <c r="G40" s="9"/>
    </row>
    <row r="41" spans="1:8" ht="21" customHeight="1">
      <c r="A41" s="9"/>
      <c r="B41" s="9"/>
      <c r="C41" s="9"/>
      <c r="D41" s="9"/>
      <c r="E41" s="9"/>
      <c r="F41" s="9"/>
      <c r="G41" s="9"/>
    </row>
    <row r="42" spans="1:8" ht="20.25">
      <c r="A42" s="7"/>
      <c r="B42" s="7"/>
      <c r="C42" s="7"/>
      <c r="D42" s="7"/>
      <c r="E42" s="7"/>
      <c r="F42" s="7"/>
      <c r="G42" s="7"/>
    </row>
    <row r="43" spans="1:8" ht="20.25">
      <c r="A43" s="7"/>
      <c r="B43" s="7"/>
      <c r="C43" s="7"/>
      <c r="D43" s="7"/>
      <c r="E43" s="7"/>
      <c r="F43" s="7"/>
      <c r="G43" s="7"/>
    </row>
    <row r="44" spans="1:8" ht="20.25">
      <c r="A44" s="7"/>
      <c r="B44" s="7"/>
      <c r="C44" s="7"/>
      <c r="D44" s="7"/>
      <c r="E44" s="7"/>
      <c r="F44" s="7"/>
      <c r="G44" s="7"/>
    </row>
  </sheetData>
  <mergeCells count="5">
    <mergeCell ref="A1:F1"/>
    <mergeCell ref="B2:C2"/>
    <mergeCell ref="E2:G2"/>
    <mergeCell ref="J2:K2"/>
    <mergeCell ref="J9:K9"/>
  </mergeCells>
  <pageMargins left="0.7" right="0.7" top="0.75" bottom="0.75" header="0.3" footer="0.3"/>
  <pageSetup orientation="portrait" copies="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0683-C10D-495C-A688-80F22237DB66}">
  <dimension ref="A1:BB280"/>
  <sheetViews>
    <sheetView topLeftCell="E1" zoomScaleNormal="100" workbookViewId="0">
      <pane ySplit="3" topLeftCell="A16" activePane="bottomLeft" state="frozen"/>
      <selection activeCell="F39" sqref="F39"/>
      <selection pane="bottomLeft" activeCell="G22" sqref="G22"/>
    </sheetView>
  </sheetViews>
  <sheetFormatPr baseColWidth="10" defaultRowHeight="14.25"/>
  <cols>
    <col min="1" max="1" width="11" style="25"/>
    <col min="2" max="2" width="9.375" style="25" customWidth="1"/>
    <col min="3" max="3" width="19" style="25" customWidth="1"/>
    <col min="4" max="4" width="32.125" style="25" customWidth="1"/>
    <col min="5" max="5" width="10.125" style="25" customWidth="1"/>
    <col min="6" max="6" width="72.875" style="25" customWidth="1"/>
    <col min="7" max="7" width="13.75" style="25" customWidth="1"/>
    <col min="8" max="8" width="15.25" style="57" hidden="1" customWidth="1"/>
    <col min="9" max="9" width="15.625" style="57" hidden="1" customWidth="1"/>
    <col min="10" max="10" width="13.25" style="57" hidden="1" customWidth="1"/>
    <col min="11" max="11" width="15.625" style="25" customWidth="1"/>
    <col min="12" max="12" width="16.375" bestFit="1" customWidth="1"/>
    <col min="13" max="13" width="14.5" customWidth="1"/>
    <col min="14" max="14" width="13.25" customWidth="1"/>
  </cols>
  <sheetData>
    <row r="1" spans="1:54" s="85" customFormat="1">
      <c r="A1" s="80" t="s">
        <v>15</v>
      </c>
      <c r="B1" s="81"/>
      <c r="C1" s="81"/>
      <c r="D1" s="81"/>
      <c r="E1" s="81"/>
      <c r="F1" s="81"/>
      <c r="G1" s="81"/>
      <c r="H1" s="82"/>
      <c r="I1" s="82"/>
      <c r="J1" s="82"/>
      <c r="K1" s="83"/>
      <c r="L1" s="84"/>
      <c r="M1" s="84"/>
    </row>
    <row r="2" spans="1:54" s="85" customFormat="1">
      <c r="A2" s="86"/>
      <c r="B2" s="87"/>
      <c r="C2" s="87"/>
      <c r="D2" s="87"/>
      <c r="E2" s="87"/>
      <c r="F2" s="87"/>
      <c r="G2" s="87"/>
      <c r="H2" s="88"/>
      <c r="I2" s="88"/>
      <c r="J2" s="88"/>
      <c r="K2" s="235" t="s">
        <v>25</v>
      </c>
      <c r="L2" s="235"/>
      <c r="M2" s="235"/>
    </row>
    <row r="3" spans="1:54" s="85" customFormat="1">
      <c r="A3" s="90" t="s">
        <v>16</v>
      </c>
      <c r="B3" s="90" t="s">
        <v>17</v>
      </c>
      <c r="C3" s="90" t="s">
        <v>18</v>
      </c>
      <c r="D3" s="90" t="s">
        <v>19</v>
      </c>
      <c r="E3" s="90" t="s">
        <v>87</v>
      </c>
      <c r="F3" s="90" t="s">
        <v>20</v>
      </c>
      <c r="G3" s="90" t="s">
        <v>21</v>
      </c>
      <c r="H3" s="91" t="s">
        <v>22</v>
      </c>
      <c r="I3" s="91" t="s">
        <v>23</v>
      </c>
      <c r="J3" s="91" t="s">
        <v>24</v>
      </c>
      <c r="K3" s="142" t="s">
        <v>4</v>
      </c>
      <c r="L3" s="143" t="s">
        <v>37</v>
      </c>
      <c r="M3" s="144" t="s">
        <v>126</v>
      </c>
    </row>
    <row r="4" spans="1:54">
      <c r="A4" s="47">
        <v>46059</v>
      </c>
      <c r="B4" s="48" t="s">
        <v>41</v>
      </c>
      <c r="C4" s="48" t="s">
        <v>32</v>
      </c>
      <c r="D4" s="47" t="s">
        <v>47</v>
      </c>
      <c r="E4" s="48">
        <v>2</v>
      </c>
      <c r="F4" s="49" t="s">
        <v>188</v>
      </c>
      <c r="G4" s="50">
        <f>27000*2</f>
        <v>54000</v>
      </c>
      <c r="H4" s="39"/>
      <c r="I4" s="39"/>
      <c r="J4" s="39"/>
      <c r="K4" s="50">
        <v>30000</v>
      </c>
      <c r="L4" s="50">
        <v>24000</v>
      </c>
    </row>
    <row r="5" spans="1:54" s="165" customFormat="1">
      <c r="A5" s="161">
        <v>46059</v>
      </c>
      <c r="B5" s="161" t="s">
        <v>41</v>
      </c>
      <c r="C5" s="162" t="s">
        <v>147</v>
      </c>
      <c r="D5" s="161" t="s">
        <v>147</v>
      </c>
      <c r="E5" s="162">
        <v>1</v>
      </c>
      <c r="F5" s="163" t="s">
        <v>209</v>
      </c>
      <c r="G5" s="164">
        <f>51645.05+10845.46+25000</f>
        <v>87490.510000000009</v>
      </c>
      <c r="H5" s="164"/>
      <c r="I5" s="164"/>
      <c r="J5" s="164"/>
      <c r="K5" s="164">
        <v>0</v>
      </c>
      <c r="L5" s="164"/>
      <c r="M5" s="166">
        <f>G5</f>
        <v>87490.510000000009</v>
      </c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</row>
    <row r="6" spans="1:54" ht="15" thickBot="1">
      <c r="A6" s="109">
        <v>46060</v>
      </c>
      <c r="B6" s="110" t="s">
        <v>41</v>
      </c>
      <c r="C6" s="111" t="s">
        <v>88</v>
      </c>
      <c r="D6" s="110" t="s">
        <v>91</v>
      </c>
      <c r="E6" s="111"/>
      <c r="F6" s="112" t="s">
        <v>157</v>
      </c>
      <c r="G6" s="113">
        <v>113609.49</v>
      </c>
      <c r="H6" s="113"/>
      <c r="I6" s="113"/>
      <c r="J6" s="113"/>
      <c r="K6" s="113"/>
      <c r="L6" s="114"/>
      <c r="M6" s="229">
        <f>G6-K6-L6</f>
        <v>113609.49</v>
      </c>
    </row>
    <row r="7" spans="1:54">
      <c r="A7" s="35">
        <v>46061</v>
      </c>
      <c r="B7" s="152" t="s">
        <v>41</v>
      </c>
      <c r="C7" s="152" t="s">
        <v>30</v>
      </c>
      <c r="D7" s="153" t="s">
        <v>33</v>
      </c>
      <c r="E7" s="152">
        <v>250</v>
      </c>
      <c r="F7" s="154" t="s">
        <v>180</v>
      </c>
      <c r="G7" s="158">
        <f>168.5*E7</f>
        <v>42125</v>
      </c>
      <c r="H7" s="158" t="e">
        <f t="shared" ref="H7:J7" si="0">168.5*F7</f>
        <v>#VALUE!</v>
      </c>
      <c r="I7" s="158">
        <f t="shared" si="0"/>
        <v>7098062.5</v>
      </c>
      <c r="J7" s="158" t="e">
        <f t="shared" si="0"/>
        <v>#VALUE!</v>
      </c>
      <c r="K7" s="33"/>
      <c r="L7" s="33"/>
    </row>
    <row r="8" spans="1:54">
      <c r="A8" s="35">
        <v>46061</v>
      </c>
      <c r="B8" s="48" t="s">
        <v>41</v>
      </c>
      <c r="C8" s="151" t="s">
        <v>31</v>
      </c>
      <c r="D8" s="47" t="s">
        <v>33</v>
      </c>
      <c r="E8" s="48">
        <v>400</v>
      </c>
      <c r="F8" s="155" t="s">
        <v>187</v>
      </c>
      <c r="G8" s="159">
        <f>490*E8</f>
        <v>196000</v>
      </c>
      <c r="H8" s="157"/>
      <c r="I8" s="51"/>
      <c r="J8" s="51"/>
      <c r="K8" s="33"/>
      <c r="L8" s="33">
        <f>G7+G8-100000</f>
        <v>138125</v>
      </c>
      <c r="M8" s="229">
        <v>100000</v>
      </c>
    </row>
    <row r="9" spans="1:54">
      <c r="A9" s="35">
        <v>46065</v>
      </c>
      <c r="B9" s="152" t="s">
        <v>41</v>
      </c>
      <c r="C9" s="152" t="s">
        <v>30</v>
      </c>
      <c r="D9" s="153" t="s">
        <v>33</v>
      </c>
      <c r="E9" s="152">
        <v>300</v>
      </c>
      <c r="F9" s="154" t="s">
        <v>180</v>
      </c>
      <c r="G9" s="158">
        <f>168.5*E9</f>
        <v>50550</v>
      </c>
      <c r="H9" s="156"/>
      <c r="I9" s="39"/>
      <c r="J9" s="39"/>
      <c r="K9" s="33"/>
      <c r="L9" s="33">
        <f>G9</f>
        <v>50550</v>
      </c>
    </row>
    <row r="10" spans="1:54" s="165" customFormat="1">
      <c r="A10" s="161">
        <v>46065</v>
      </c>
      <c r="B10" s="161" t="s">
        <v>41</v>
      </c>
      <c r="C10" s="162" t="s">
        <v>147</v>
      </c>
      <c r="D10" s="161" t="s">
        <v>147</v>
      </c>
      <c r="E10" s="162">
        <v>1</v>
      </c>
      <c r="F10" s="163" t="s">
        <v>210</v>
      </c>
      <c r="G10" s="164">
        <f>53499.76+9501.9+13230.35+22800</f>
        <v>99032.010000000009</v>
      </c>
      <c r="H10" s="164"/>
      <c r="I10" s="164"/>
      <c r="J10" s="164"/>
      <c r="K10" s="164">
        <v>0</v>
      </c>
      <c r="L10" s="164"/>
      <c r="M10" s="166">
        <f>G10</f>
        <v>99032.010000000009</v>
      </c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</row>
    <row r="11" spans="1:54">
      <c r="A11" s="47">
        <v>46066</v>
      </c>
      <c r="B11" s="48" t="s">
        <v>41</v>
      </c>
      <c r="C11" s="48" t="s">
        <v>32</v>
      </c>
      <c r="D11" s="47" t="s">
        <v>47</v>
      </c>
      <c r="E11" s="48">
        <v>2</v>
      </c>
      <c r="F11" s="49" t="s">
        <v>211</v>
      </c>
      <c r="G11" s="50">
        <f>27300*2</f>
        <v>54600</v>
      </c>
      <c r="H11" s="39"/>
      <c r="I11" s="39"/>
      <c r="J11" s="39"/>
      <c r="K11" s="50"/>
      <c r="L11" s="50">
        <f>G11</f>
        <v>54600</v>
      </c>
    </row>
    <row r="12" spans="1:54">
      <c r="A12" s="30">
        <v>45701</v>
      </c>
      <c r="B12" s="30" t="s">
        <v>41</v>
      </c>
      <c r="C12" s="31" t="s">
        <v>26</v>
      </c>
      <c r="D12" s="30" t="s">
        <v>42</v>
      </c>
      <c r="E12" s="31">
        <v>1</v>
      </c>
      <c r="F12" s="32" t="s">
        <v>143</v>
      </c>
      <c r="G12" s="33">
        <v>15000</v>
      </c>
      <c r="H12" s="34"/>
      <c r="I12" s="34"/>
      <c r="J12" s="34"/>
      <c r="K12" s="33"/>
      <c r="L12" s="33">
        <f>G12</f>
        <v>15000</v>
      </c>
    </row>
    <row r="13" spans="1:54">
      <c r="A13" s="30">
        <v>46070</v>
      </c>
      <c r="B13" s="31" t="s">
        <v>41</v>
      </c>
      <c r="C13" s="31" t="s">
        <v>46</v>
      </c>
      <c r="D13" s="31" t="s">
        <v>56</v>
      </c>
      <c r="E13" s="31">
        <v>1</v>
      </c>
      <c r="F13" s="32" t="s">
        <v>162</v>
      </c>
      <c r="G13" s="33">
        <v>50951.74</v>
      </c>
      <c r="H13" s="33"/>
      <c r="I13" s="33"/>
      <c r="J13" s="33"/>
      <c r="K13" s="33"/>
      <c r="L13" s="33">
        <f>G13</f>
        <v>50951.74</v>
      </c>
    </row>
    <row r="14" spans="1:54">
      <c r="A14" s="30">
        <v>46070</v>
      </c>
      <c r="B14" s="30" t="s">
        <v>41</v>
      </c>
      <c r="C14" s="31" t="s">
        <v>46</v>
      </c>
      <c r="D14" s="30" t="s">
        <v>44</v>
      </c>
      <c r="E14" s="31">
        <v>1</v>
      </c>
      <c r="F14" s="32" t="s">
        <v>212</v>
      </c>
      <c r="G14" s="33">
        <v>15914</v>
      </c>
      <c r="H14" s="34"/>
      <c r="I14" s="34"/>
      <c r="J14" s="34"/>
      <c r="K14" s="33"/>
      <c r="L14" s="33">
        <f>G14</f>
        <v>15914</v>
      </c>
    </row>
    <row r="15" spans="1:54">
      <c r="A15" s="35">
        <v>46070</v>
      </c>
      <c r="B15" s="152" t="s">
        <v>41</v>
      </c>
      <c r="C15" s="152" t="s">
        <v>30</v>
      </c>
      <c r="D15" s="153" t="s">
        <v>33</v>
      </c>
      <c r="E15" s="152">
        <v>200</v>
      </c>
      <c r="F15" s="154" t="s">
        <v>180</v>
      </c>
      <c r="G15" s="158">
        <f>168.5*E15</f>
        <v>33700</v>
      </c>
      <c r="H15" s="158" t="e">
        <f t="shared" ref="H15" si="1">168.5*F15</f>
        <v>#VALUE!</v>
      </c>
      <c r="I15" s="158">
        <f t="shared" ref="I15" si="2">168.5*G15</f>
        <v>5678450</v>
      </c>
      <c r="J15" s="158" t="e">
        <f t="shared" ref="J15" si="3">168.5*H15</f>
        <v>#VALUE!</v>
      </c>
      <c r="K15" s="33"/>
      <c r="L15" s="33"/>
    </row>
    <row r="16" spans="1:54">
      <c r="A16" s="35">
        <v>46070</v>
      </c>
      <c r="B16" s="48" t="s">
        <v>41</v>
      </c>
      <c r="C16" s="151" t="s">
        <v>31</v>
      </c>
      <c r="D16" s="47" t="s">
        <v>33</v>
      </c>
      <c r="E16" s="48">
        <v>250</v>
      </c>
      <c r="F16" s="155" t="s">
        <v>187</v>
      </c>
      <c r="G16" s="159">
        <f>490*E16</f>
        <v>122500</v>
      </c>
      <c r="H16" s="157"/>
      <c r="I16" s="51"/>
      <c r="J16" s="51"/>
      <c r="K16" s="33"/>
      <c r="L16" s="33">
        <f>G15+G16-100000</f>
        <v>56200</v>
      </c>
      <c r="M16" s="229">
        <v>100000</v>
      </c>
    </row>
    <row r="17" spans="1:54" ht="15" thickBot="1">
      <c r="A17" s="109">
        <v>46071</v>
      </c>
      <c r="B17" s="110" t="s">
        <v>41</v>
      </c>
      <c r="C17" s="111" t="s">
        <v>88</v>
      </c>
      <c r="D17" s="110" t="s">
        <v>91</v>
      </c>
      <c r="E17" s="111"/>
      <c r="F17" s="112" t="s">
        <v>157</v>
      </c>
      <c r="G17" s="113">
        <v>367690</v>
      </c>
      <c r="H17" s="113"/>
      <c r="I17" s="113"/>
      <c r="J17" s="113"/>
      <c r="K17" s="113">
        <f>G17</f>
        <v>367690</v>
      </c>
      <c r="L17" s="114"/>
      <c r="M17" s="229"/>
    </row>
    <row r="18" spans="1:54" s="165" customFormat="1">
      <c r="A18" s="161">
        <v>46072</v>
      </c>
      <c r="B18" s="161" t="s">
        <v>41</v>
      </c>
      <c r="C18" s="162" t="s">
        <v>147</v>
      </c>
      <c r="D18" s="161" t="s">
        <v>147</v>
      </c>
      <c r="E18" s="162">
        <v>1</v>
      </c>
      <c r="F18" s="163" t="s">
        <v>213</v>
      </c>
      <c r="G18" s="164">
        <f>71219.6+13018.39+37200-9227.28</f>
        <v>112210.71</v>
      </c>
      <c r="H18" s="164"/>
      <c r="I18" s="164"/>
      <c r="J18" s="164"/>
      <c r="K18" s="164">
        <v>0</v>
      </c>
      <c r="L18" s="164"/>
      <c r="M18" s="166">
        <f>G18</f>
        <v>112210.71</v>
      </c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</row>
    <row r="19" spans="1:54">
      <c r="A19" s="66">
        <v>46073</v>
      </c>
      <c r="B19" s="66" t="s">
        <v>41</v>
      </c>
      <c r="C19" s="67" t="s">
        <v>62</v>
      </c>
      <c r="D19" s="66" t="s">
        <v>105</v>
      </c>
      <c r="E19" s="67"/>
      <c r="F19" s="68" t="s">
        <v>64</v>
      </c>
      <c r="G19" s="34">
        <v>8000</v>
      </c>
      <c r="H19" s="34"/>
      <c r="I19" s="34"/>
      <c r="J19" s="34"/>
      <c r="K19" s="34">
        <f>G19</f>
        <v>8000</v>
      </c>
      <c r="L19" s="34"/>
    </row>
    <row r="20" spans="1:54" ht="15" thickBot="1">
      <c r="A20" s="109">
        <v>46073</v>
      </c>
      <c r="B20" s="110" t="s">
        <v>41</v>
      </c>
      <c r="C20" s="111" t="s">
        <v>88</v>
      </c>
      <c r="D20" s="110" t="s">
        <v>91</v>
      </c>
      <c r="E20" s="111"/>
      <c r="F20" s="112" t="s">
        <v>157</v>
      </c>
      <c r="G20" s="113">
        <v>55624.29</v>
      </c>
      <c r="H20" s="113"/>
      <c r="I20" s="113"/>
      <c r="J20" s="113"/>
      <c r="K20" s="113"/>
      <c r="L20" s="114"/>
      <c r="M20" s="114">
        <f>G20</f>
        <v>55624.29</v>
      </c>
    </row>
    <row r="21" spans="1:54">
      <c r="A21" s="35">
        <v>46074</v>
      </c>
      <c r="B21" s="152" t="s">
        <v>41</v>
      </c>
      <c r="C21" s="152" t="s">
        <v>30</v>
      </c>
      <c r="D21" s="153" t="s">
        <v>33</v>
      </c>
      <c r="E21" s="152">
        <v>300</v>
      </c>
      <c r="F21" s="154" t="s">
        <v>180</v>
      </c>
      <c r="G21" s="158">
        <f>168.5*E21</f>
        <v>50550</v>
      </c>
      <c r="H21" s="158" t="e">
        <f t="shared" ref="H21" si="4">168.5*F21</f>
        <v>#VALUE!</v>
      </c>
      <c r="I21" s="158">
        <f t="shared" ref="I21" si="5">168.5*G21</f>
        <v>8517675</v>
      </c>
      <c r="J21" s="158" t="e">
        <f t="shared" ref="J21" si="6">168.5*H21</f>
        <v>#VALUE!</v>
      </c>
      <c r="K21" s="33">
        <f>G21</f>
        <v>50550</v>
      </c>
      <c r="L21" s="33"/>
    </row>
    <row r="22" spans="1:54">
      <c r="A22" s="47">
        <v>46076</v>
      </c>
      <c r="B22" s="48" t="s">
        <v>41</v>
      </c>
      <c r="C22" s="48" t="s">
        <v>32</v>
      </c>
      <c r="D22" s="47" t="s">
        <v>47</v>
      </c>
      <c r="E22" s="48">
        <v>2</v>
      </c>
      <c r="F22" s="49" t="s">
        <v>211</v>
      </c>
      <c r="G22" s="50">
        <f>27300*2</f>
        <v>54600</v>
      </c>
      <c r="H22" s="39"/>
      <c r="I22" s="39"/>
      <c r="J22" s="39"/>
      <c r="K22" s="50">
        <f>G22</f>
        <v>54600</v>
      </c>
      <c r="L22" s="50"/>
    </row>
    <row r="23" spans="1:54">
      <c r="A23" s="30">
        <v>46076</v>
      </c>
      <c r="B23" s="31" t="s">
        <v>41</v>
      </c>
      <c r="C23" s="31" t="s">
        <v>58</v>
      </c>
      <c r="D23" s="31" t="s">
        <v>59</v>
      </c>
      <c r="E23" s="31"/>
      <c r="F23" s="32" t="s">
        <v>214</v>
      </c>
      <c r="G23" s="33">
        <v>18000</v>
      </c>
      <c r="H23" s="33"/>
      <c r="I23" s="33"/>
      <c r="J23" s="33"/>
      <c r="K23" s="33"/>
      <c r="L23" s="33">
        <f>G23</f>
        <v>18000</v>
      </c>
    </row>
    <row r="24" spans="1:54" s="165" customFormat="1">
      <c r="A24" s="161">
        <v>46079</v>
      </c>
      <c r="B24" s="161" t="s">
        <v>41</v>
      </c>
      <c r="C24" s="162" t="s">
        <v>147</v>
      </c>
      <c r="D24" s="161" t="s">
        <v>147</v>
      </c>
      <c r="E24" s="162">
        <v>1</v>
      </c>
      <c r="F24" s="163" t="s">
        <v>215</v>
      </c>
      <c r="G24" s="164">
        <f>57308.03+8300+13777.69+47700</f>
        <v>127085.72</v>
      </c>
      <c r="H24" s="164"/>
      <c r="I24" s="164"/>
      <c r="J24" s="164"/>
      <c r="K24" s="164">
        <v>0</v>
      </c>
      <c r="L24" s="164"/>
      <c r="M24" s="166">
        <f>G24</f>
        <v>127085.72</v>
      </c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</row>
    <row r="25" spans="1:54">
      <c r="A25" s="35">
        <v>46080</v>
      </c>
      <c r="B25" s="152" t="s">
        <v>41</v>
      </c>
      <c r="C25" s="152" t="s">
        <v>30</v>
      </c>
      <c r="D25" s="153" t="s">
        <v>33</v>
      </c>
      <c r="E25" s="152">
        <v>200</v>
      </c>
      <c r="F25" s="154" t="s">
        <v>217</v>
      </c>
      <c r="G25" s="158">
        <f>217*E25</f>
        <v>43400</v>
      </c>
      <c r="H25" s="158" t="e">
        <f t="shared" ref="H25" si="7">168.5*F25</f>
        <v>#VALUE!</v>
      </c>
      <c r="I25" s="158">
        <f t="shared" ref="I25" si="8">168.5*G25</f>
        <v>7312900</v>
      </c>
      <c r="J25" s="158" t="e">
        <f t="shared" ref="J25" si="9">168.5*H25</f>
        <v>#VALUE!</v>
      </c>
      <c r="K25" s="33"/>
      <c r="L25" s="33"/>
    </row>
    <row r="26" spans="1:54">
      <c r="A26" s="35">
        <v>46080</v>
      </c>
      <c r="B26" s="48" t="s">
        <v>41</v>
      </c>
      <c r="C26" s="151" t="s">
        <v>31</v>
      </c>
      <c r="D26" s="47" t="s">
        <v>33</v>
      </c>
      <c r="E26" s="48">
        <v>200</v>
      </c>
      <c r="F26" s="155" t="s">
        <v>216</v>
      </c>
      <c r="G26" s="159">
        <f>490*E26</f>
        <v>98000</v>
      </c>
      <c r="H26" s="157"/>
      <c r="I26" s="51"/>
      <c r="J26" s="51"/>
      <c r="K26" s="33"/>
      <c r="L26" s="33"/>
      <c r="M26" s="229"/>
    </row>
    <row r="27" spans="1:54">
      <c r="A27" s="35">
        <v>46080</v>
      </c>
      <c r="B27" s="152" t="s">
        <v>41</v>
      </c>
      <c r="C27" s="152" t="s">
        <v>30</v>
      </c>
      <c r="D27" s="153" t="s">
        <v>33</v>
      </c>
      <c r="E27" s="152">
        <v>100</v>
      </c>
      <c r="F27" s="154" t="s">
        <v>218</v>
      </c>
      <c r="G27" s="158">
        <f>490.5*E27</f>
        <v>49050</v>
      </c>
      <c r="H27" s="156"/>
      <c r="I27" s="39"/>
      <c r="J27" s="39"/>
      <c r="K27" s="33">
        <f>G25+G26+G27</f>
        <v>190450</v>
      </c>
      <c r="L27" s="33"/>
    </row>
    <row r="28" spans="1:54" ht="15" thickBot="1">
      <c r="A28" s="109">
        <v>46080</v>
      </c>
      <c r="B28" s="110" t="s">
        <v>41</v>
      </c>
      <c r="C28" s="111" t="s">
        <v>88</v>
      </c>
      <c r="D28" s="110" t="s">
        <v>91</v>
      </c>
      <c r="E28" s="111"/>
      <c r="F28" s="112" t="s">
        <v>157</v>
      </c>
      <c r="G28" s="113">
        <v>98314.28</v>
      </c>
      <c r="H28" s="113"/>
      <c r="I28" s="113"/>
      <c r="J28" s="113"/>
      <c r="K28" s="113"/>
      <c r="L28" s="114"/>
      <c r="M28" s="114">
        <f>G28</f>
        <v>98314.28</v>
      </c>
    </row>
    <row r="29" spans="1:54">
      <c r="A29" s="35"/>
      <c r="B29" s="226"/>
      <c r="C29" s="227"/>
      <c r="D29" s="150"/>
      <c r="E29" s="226"/>
      <c r="F29" s="155"/>
      <c r="G29" s="159"/>
      <c r="H29" s="157"/>
      <c r="I29" s="51"/>
      <c r="J29" s="51"/>
      <c r="K29" s="33"/>
      <c r="L29" s="33"/>
    </row>
    <row r="30" spans="1:54">
      <c r="A30" s="35"/>
      <c r="B30" s="226"/>
      <c r="C30" s="227"/>
      <c r="D30" s="150"/>
      <c r="E30" s="226"/>
      <c r="F30" s="155"/>
      <c r="G30" s="159">
        <f>G4+G7+G8+G9+G11+G12+G13+G14+G15+G16+G19+G21+G22+G23+G25+G26+G27</f>
        <v>956940.74</v>
      </c>
      <c r="H30" s="157"/>
      <c r="I30" s="51"/>
      <c r="J30" s="51"/>
      <c r="K30" s="33"/>
      <c r="L30" s="33"/>
    </row>
    <row r="31" spans="1:54">
      <c r="A31" s="35"/>
      <c r="B31" s="226"/>
      <c r="C31" s="227"/>
      <c r="D31" s="150"/>
      <c r="E31" s="226"/>
      <c r="F31" s="155"/>
      <c r="G31" s="159"/>
      <c r="H31" s="157"/>
      <c r="I31" s="51"/>
      <c r="J31" s="51"/>
      <c r="K31" s="33"/>
      <c r="L31" s="33"/>
    </row>
    <row r="32" spans="1:54">
      <c r="A32" s="35"/>
      <c r="B32" s="226"/>
      <c r="C32" s="227"/>
      <c r="D32" s="150"/>
      <c r="E32" s="226"/>
      <c r="F32" s="155"/>
      <c r="G32" s="159"/>
      <c r="H32" s="157"/>
      <c r="I32" s="51"/>
      <c r="J32" s="51"/>
      <c r="K32" s="33"/>
      <c r="L32" s="33"/>
    </row>
    <row r="33" spans="1:12">
      <c r="A33" s="35"/>
      <c r="B33" s="226"/>
      <c r="C33" s="227"/>
      <c r="D33" s="150"/>
      <c r="E33" s="226"/>
      <c r="F33" s="155"/>
      <c r="G33" s="159"/>
      <c r="H33" s="157"/>
      <c r="I33" s="51"/>
      <c r="J33" s="51"/>
      <c r="K33" s="33"/>
      <c r="L33" s="33"/>
    </row>
    <row r="34" spans="1:12">
      <c r="A34" s="35"/>
      <c r="B34" s="226"/>
      <c r="C34" s="227"/>
      <c r="D34" s="150"/>
      <c r="E34" s="226"/>
      <c r="F34" s="155"/>
      <c r="G34" s="159"/>
      <c r="H34" s="157"/>
      <c r="I34" s="51"/>
      <c r="J34" s="51"/>
      <c r="K34" s="33"/>
      <c r="L34" s="33"/>
    </row>
    <row r="35" spans="1:12">
      <c r="A35" s="35"/>
      <c r="B35" s="226"/>
      <c r="C35" s="227"/>
      <c r="D35" s="150"/>
      <c r="E35" s="226"/>
      <c r="F35" s="155"/>
      <c r="G35" s="159"/>
      <c r="H35" s="157"/>
      <c r="I35" s="51"/>
      <c r="J35" s="51"/>
      <c r="K35" s="33"/>
      <c r="L35" s="33"/>
    </row>
    <row r="36" spans="1:12">
      <c r="A36" s="35"/>
      <c r="B36" s="226"/>
      <c r="C36" s="227"/>
      <c r="D36" s="150"/>
      <c r="E36" s="226"/>
      <c r="F36" s="155"/>
      <c r="G36" s="159"/>
      <c r="H36" s="157"/>
      <c r="I36" s="51"/>
      <c r="J36" s="51"/>
      <c r="K36" s="33"/>
      <c r="L36" s="33"/>
    </row>
    <row r="37" spans="1:12">
      <c r="A37" s="35"/>
      <c r="B37" s="226"/>
      <c r="C37" s="227"/>
      <c r="D37" s="150"/>
      <c r="E37" s="226"/>
      <c r="F37" s="155"/>
      <c r="G37" s="159"/>
      <c r="H37" s="157"/>
      <c r="I37" s="51"/>
      <c r="J37" s="51"/>
      <c r="K37" s="33"/>
      <c r="L37" s="33"/>
    </row>
    <row r="38" spans="1:12">
      <c r="A38" s="35"/>
      <c r="B38" s="226"/>
      <c r="C38" s="227"/>
      <c r="D38" s="150"/>
      <c r="E38" s="226"/>
      <c r="F38" s="155"/>
      <c r="G38" s="159"/>
      <c r="H38" s="157"/>
      <c r="I38" s="51"/>
      <c r="J38" s="51"/>
      <c r="K38" s="33"/>
      <c r="L38" s="33"/>
    </row>
    <row r="39" spans="1:12">
      <c r="A39" s="35"/>
      <c r="B39" s="226"/>
      <c r="C39" s="227"/>
      <c r="D39" s="150"/>
      <c r="E39" s="226"/>
      <c r="F39" s="155"/>
      <c r="G39" s="159"/>
      <c r="H39" s="157"/>
      <c r="I39" s="51"/>
      <c r="J39" s="51"/>
      <c r="K39" s="33"/>
      <c r="L39" s="33"/>
    </row>
    <row r="40" spans="1:12">
      <c r="A40" s="35"/>
      <c r="B40" s="226"/>
      <c r="C40" s="227"/>
      <c r="D40" s="150"/>
      <c r="E40" s="226"/>
      <c r="F40" s="155"/>
      <c r="G40" s="159"/>
      <c r="H40" s="157"/>
      <c r="I40" s="51"/>
      <c r="J40" s="51"/>
      <c r="K40" s="33"/>
      <c r="L40" s="33"/>
    </row>
    <row r="41" spans="1:12">
      <c r="A41" s="35"/>
      <c r="B41" s="226"/>
      <c r="C41" s="227"/>
      <c r="D41" s="150"/>
      <c r="E41" s="226"/>
      <c r="F41" s="155"/>
      <c r="G41" s="159"/>
      <c r="H41" s="157"/>
      <c r="I41" s="51"/>
      <c r="J41" s="51"/>
      <c r="K41" s="33"/>
      <c r="L41" s="33"/>
    </row>
    <row r="42" spans="1:12">
      <c r="A42" s="35"/>
      <c r="B42" s="226"/>
      <c r="C42" s="227"/>
      <c r="D42" s="150"/>
      <c r="E42" s="226"/>
      <c r="F42" s="155"/>
      <c r="G42" s="159"/>
      <c r="H42" s="157"/>
      <c r="I42" s="51"/>
      <c r="J42" s="51"/>
      <c r="K42" s="33"/>
      <c r="L42" s="33"/>
    </row>
    <row r="43" spans="1:12">
      <c r="A43" s="35"/>
      <c r="B43" s="226"/>
      <c r="C43" s="227"/>
      <c r="D43" s="150"/>
      <c r="E43" s="226"/>
      <c r="F43" s="155"/>
      <c r="G43" s="159"/>
      <c r="H43" s="157"/>
      <c r="I43" s="51"/>
      <c r="J43" s="51"/>
      <c r="K43" s="33"/>
      <c r="L43" s="33"/>
    </row>
    <row r="44" spans="1:12">
      <c r="A44" s="35"/>
      <c r="B44" s="226"/>
      <c r="C44" s="227"/>
      <c r="D44" s="150"/>
      <c r="E44" s="226"/>
      <c r="F44" s="155"/>
      <c r="G44" s="159"/>
      <c r="H44" s="157"/>
      <c r="I44" s="51"/>
      <c r="J44" s="51"/>
      <c r="K44" s="33"/>
      <c r="L44" s="33"/>
    </row>
    <row r="45" spans="1:12">
      <c r="A45" s="35"/>
      <c r="B45" s="226"/>
      <c r="C45" s="227"/>
      <c r="D45" s="150"/>
      <c r="E45" s="226"/>
      <c r="F45" s="155"/>
      <c r="G45" s="159"/>
      <c r="H45" s="157"/>
      <c r="I45" s="51"/>
      <c r="J45" s="51"/>
      <c r="K45" s="33"/>
      <c r="L45" s="33"/>
    </row>
    <row r="46" spans="1:12">
      <c r="A46" s="35"/>
      <c r="B46" s="226"/>
      <c r="C46" s="227"/>
      <c r="D46" s="150"/>
      <c r="E46" s="226"/>
      <c r="F46" s="155"/>
      <c r="G46" s="159"/>
      <c r="H46" s="157"/>
      <c r="I46" s="51"/>
      <c r="J46" s="51"/>
      <c r="K46" s="33"/>
      <c r="L46" s="33"/>
    </row>
    <row r="47" spans="1:12">
      <c r="A47" s="35"/>
      <c r="B47" s="226"/>
      <c r="C47" s="227"/>
      <c r="D47" s="150"/>
      <c r="E47" s="226"/>
      <c r="F47" s="155"/>
      <c r="G47" s="159"/>
      <c r="H47" s="157"/>
      <c r="I47" s="51"/>
      <c r="J47" s="51"/>
      <c r="K47" s="33"/>
      <c r="L47" s="33"/>
    </row>
    <row r="48" spans="1:12">
      <c r="A48" s="35"/>
      <c r="B48" s="226"/>
      <c r="C48" s="227"/>
      <c r="D48" s="150"/>
      <c r="E48" s="226"/>
      <c r="F48" s="155"/>
      <c r="G48" s="159"/>
      <c r="H48" s="157"/>
      <c r="I48" s="51"/>
      <c r="J48" s="51"/>
      <c r="K48" s="33"/>
      <c r="L48" s="33"/>
    </row>
    <row r="49" spans="1:12">
      <c r="A49" s="35"/>
      <c r="B49" s="226"/>
      <c r="C49" s="227"/>
      <c r="D49" s="150"/>
      <c r="E49" s="226"/>
      <c r="F49" s="155"/>
      <c r="G49" s="159"/>
      <c r="H49" s="157"/>
      <c r="I49" s="51"/>
      <c r="J49" s="51"/>
      <c r="K49" s="33"/>
      <c r="L49" s="33"/>
    </row>
    <row r="50" spans="1:12">
      <c r="A50" s="35"/>
      <c r="B50" s="226"/>
      <c r="C50" s="227"/>
      <c r="D50" s="150"/>
      <c r="E50" s="226"/>
      <c r="F50" s="155"/>
      <c r="G50" s="159"/>
      <c r="H50" s="157"/>
      <c r="I50" s="51"/>
      <c r="J50" s="51"/>
      <c r="K50" s="33"/>
      <c r="L50" s="33"/>
    </row>
    <row r="51" spans="1:12">
      <c r="A51" s="35"/>
      <c r="B51" s="226"/>
      <c r="C51" s="227"/>
      <c r="D51" s="150"/>
      <c r="E51" s="226"/>
      <c r="F51" s="155"/>
      <c r="G51" s="159"/>
      <c r="H51" s="157"/>
      <c r="I51" s="51"/>
      <c r="J51" s="51"/>
      <c r="K51" s="33"/>
      <c r="L51" s="33"/>
    </row>
    <row r="52" spans="1:12">
      <c r="A52" s="35"/>
      <c r="B52" s="226"/>
      <c r="C52" s="227"/>
      <c r="D52" s="150"/>
      <c r="E52" s="226"/>
      <c r="F52" s="155"/>
      <c r="G52" s="159"/>
      <c r="H52" s="157"/>
      <c r="I52" s="51"/>
      <c r="J52" s="51"/>
      <c r="K52" s="33"/>
      <c r="L52" s="33"/>
    </row>
    <row r="53" spans="1:12">
      <c r="A53" s="35"/>
      <c r="B53" s="226"/>
      <c r="C53" s="227"/>
      <c r="D53" s="150"/>
      <c r="E53" s="226"/>
      <c r="F53" s="155"/>
      <c r="G53" s="159"/>
      <c r="H53" s="157"/>
      <c r="I53" s="51"/>
      <c r="J53" s="51"/>
      <c r="K53" s="33"/>
      <c r="L53" s="33"/>
    </row>
    <row r="54" spans="1:12">
      <c r="A54" s="35"/>
      <c r="B54" s="226"/>
      <c r="C54" s="227"/>
      <c r="D54" s="150"/>
      <c r="E54" s="226"/>
      <c r="F54" s="155"/>
      <c r="G54" s="159"/>
      <c r="H54" s="157"/>
      <c r="I54" s="51"/>
      <c r="J54" s="51"/>
      <c r="K54" s="33"/>
      <c r="L54" s="33"/>
    </row>
    <row r="55" spans="1:12">
      <c r="A55" s="35"/>
      <c r="B55" s="226"/>
      <c r="C55" s="227"/>
      <c r="D55" s="150"/>
      <c r="E55" s="226"/>
      <c r="F55" s="155"/>
      <c r="G55" s="159"/>
      <c r="H55" s="157"/>
      <c r="I55" s="51"/>
      <c r="J55" s="51"/>
      <c r="K55" s="33"/>
      <c r="L55" s="33"/>
    </row>
    <row r="56" spans="1:12">
      <c r="A56" s="35"/>
      <c r="B56" s="226"/>
      <c r="C56" s="227"/>
      <c r="D56" s="150"/>
      <c r="E56" s="226"/>
      <c r="F56" s="155"/>
      <c r="G56" s="159"/>
      <c r="H56" s="157"/>
      <c r="I56" s="51"/>
      <c r="J56" s="51"/>
      <c r="K56" s="33"/>
      <c r="L56" s="33"/>
    </row>
    <row r="57" spans="1:12">
      <c r="A57" s="35"/>
      <c r="B57" s="226"/>
      <c r="C57" s="227"/>
      <c r="D57" s="150"/>
      <c r="E57" s="226"/>
      <c r="F57" s="155"/>
      <c r="G57" s="159"/>
      <c r="H57" s="157"/>
      <c r="I57" s="51"/>
      <c r="J57" s="51"/>
      <c r="K57" s="33"/>
      <c r="L57" s="33"/>
    </row>
    <row r="58" spans="1:12">
      <c r="A58" s="35"/>
      <c r="B58" s="226"/>
      <c r="C58" s="227"/>
      <c r="D58" s="150"/>
      <c r="E58" s="226"/>
      <c r="F58" s="155"/>
      <c r="G58" s="159"/>
      <c r="H58" s="157"/>
      <c r="I58" s="51"/>
      <c r="J58" s="51"/>
      <c r="K58" s="33"/>
      <c r="L58" s="33"/>
    </row>
    <row r="59" spans="1:12">
      <c r="A59" s="35"/>
      <c r="B59" s="226"/>
      <c r="C59" s="227"/>
      <c r="D59" s="150"/>
      <c r="E59" s="226"/>
      <c r="F59" s="155"/>
      <c r="G59" s="159"/>
      <c r="H59" s="157"/>
      <c r="I59" s="51"/>
      <c r="J59" s="51"/>
      <c r="K59" s="33"/>
      <c r="L59" s="33"/>
    </row>
    <row r="60" spans="1:12">
      <c r="A60" s="35"/>
      <c r="B60" s="226"/>
      <c r="C60" s="227"/>
      <c r="D60" s="150"/>
      <c r="E60" s="226"/>
      <c r="F60" s="155"/>
      <c r="G60" s="159"/>
      <c r="H60" s="157"/>
      <c r="I60" s="51"/>
      <c r="J60" s="51"/>
      <c r="K60" s="33"/>
      <c r="L60" s="33"/>
    </row>
    <row r="61" spans="1:12">
      <c r="A61" s="35">
        <v>45992</v>
      </c>
      <c r="B61" s="48" t="s">
        <v>41</v>
      </c>
      <c r="C61" s="151" t="s">
        <v>31</v>
      </c>
      <c r="D61" s="47" t="s">
        <v>33</v>
      </c>
      <c r="E61" s="48">
        <v>200</v>
      </c>
      <c r="F61" s="155" t="s">
        <v>181</v>
      </c>
      <c r="G61" s="159">
        <f>490*E61</f>
        <v>98000</v>
      </c>
      <c r="H61" s="157"/>
      <c r="I61" s="51"/>
      <c r="J61" s="51"/>
      <c r="K61" s="33">
        <f>G14+G61</f>
        <v>113914</v>
      </c>
      <c r="L61" s="33"/>
    </row>
    <row r="62" spans="1:12">
      <c r="A62" s="40">
        <v>45992</v>
      </c>
      <c r="B62" s="31" t="s">
        <v>41</v>
      </c>
      <c r="C62" s="42" t="s">
        <v>65</v>
      </c>
      <c r="D62" s="40" t="s">
        <v>112</v>
      </c>
      <c r="E62" s="42">
        <v>400</v>
      </c>
      <c r="F62" s="43" t="s">
        <v>182</v>
      </c>
      <c r="G62" s="33">
        <v>6470</v>
      </c>
      <c r="H62" s="44"/>
      <c r="I62" s="44"/>
      <c r="J62" s="44"/>
      <c r="K62" s="33"/>
      <c r="L62" s="50">
        <f>G62</f>
        <v>6470</v>
      </c>
    </row>
    <row r="63" spans="1:12">
      <c r="A63" s="47">
        <v>45995</v>
      </c>
      <c r="B63" s="48" t="s">
        <v>41</v>
      </c>
      <c r="C63" s="48" t="s">
        <v>32</v>
      </c>
      <c r="D63" s="47" t="s">
        <v>119</v>
      </c>
      <c r="E63" s="48">
        <v>1</v>
      </c>
      <c r="F63" s="49" t="s">
        <v>183</v>
      </c>
      <c r="G63" s="50">
        <v>44500</v>
      </c>
      <c r="H63" s="39"/>
      <c r="I63" s="39"/>
      <c r="J63" s="39"/>
      <c r="K63" s="50">
        <f>G63</f>
        <v>44500</v>
      </c>
      <c r="L63" s="50">
        <v>0</v>
      </c>
    </row>
    <row r="64" spans="1:12">
      <c r="A64" s="35">
        <v>46000</v>
      </c>
      <c r="B64" s="152" t="s">
        <v>41</v>
      </c>
      <c r="C64" s="152" t="s">
        <v>30</v>
      </c>
      <c r="D64" s="153" t="s">
        <v>33</v>
      </c>
      <c r="E64" s="152">
        <v>200</v>
      </c>
      <c r="F64" s="154" t="s">
        <v>180</v>
      </c>
      <c r="G64" s="158">
        <f>168.5*E64</f>
        <v>33700</v>
      </c>
      <c r="H64" s="156"/>
      <c r="I64" s="39"/>
      <c r="J64" s="39"/>
      <c r="K64" s="33">
        <f>G64</f>
        <v>33700</v>
      </c>
      <c r="L64" s="33"/>
    </row>
    <row r="65" spans="1:54" s="165" customFormat="1">
      <c r="A65" s="161">
        <v>46020</v>
      </c>
      <c r="B65" s="161" t="s">
        <v>41</v>
      </c>
      <c r="C65" s="162" t="s">
        <v>147</v>
      </c>
      <c r="D65" s="161" t="s">
        <v>147</v>
      </c>
      <c r="E65" s="162">
        <v>1</v>
      </c>
      <c r="F65" s="163" t="s">
        <v>184</v>
      </c>
      <c r="G65" s="164">
        <f>21827+2559.04+5121.07</f>
        <v>29507.11</v>
      </c>
      <c r="H65" s="164"/>
      <c r="I65" s="164"/>
      <c r="J65" s="164"/>
      <c r="K65" s="164">
        <v>0</v>
      </c>
      <c r="L65" s="164"/>
      <c r="M65" s="166">
        <f>G65</f>
        <v>29507.11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</row>
    <row r="66" spans="1:54">
      <c r="A66" s="47">
        <v>46000</v>
      </c>
      <c r="B66" s="48" t="s">
        <v>41</v>
      </c>
      <c r="C66" s="48" t="s">
        <v>32</v>
      </c>
      <c r="D66" s="47" t="s">
        <v>119</v>
      </c>
      <c r="E66" s="48">
        <v>1</v>
      </c>
      <c r="F66" s="49" t="s">
        <v>183</v>
      </c>
      <c r="G66" s="50">
        <v>44200</v>
      </c>
      <c r="H66" s="39"/>
      <c r="I66" s="39"/>
      <c r="J66" s="39"/>
      <c r="K66" s="50">
        <f>G66</f>
        <v>44200</v>
      </c>
      <c r="L66" s="50">
        <v>0</v>
      </c>
    </row>
    <row r="67" spans="1:54" s="165" customFormat="1">
      <c r="A67" s="161">
        <v>46020</v>
      </c>
      <c r="B67" s="161" t="s">
        <v>41</v>
      </c>
      <c r="C67" s="162" t="s">
        <v>147</v>
      </c>
      <c r="D67" s="161" t="s">
        <v>147</v>
      </c>
      <c r="E67" s="162">
        <v>1</v>
      </c>
      <c r="F67" s="163" t="s">
        <v>185</v>
      </c>
      <c r="G67" s="164">
        <f>29688.3+5539.28+22900-9239.74</f>
        <v>48887.840000000004</v>
      </c>
      <c r="H67" s="164"/>
      <c r="I67" s="164"/>
      <c r="J67" s="164"/>
      <c r="K67" s="164">
        <v>0</v>
      </c>
      <c r="L67" s="164"/>
      <c r="M67" s="166">
        <f>G67</f>
        <v>48887.840000000004</v>
      </c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</row>
    <row r="68" spans="1:54">
      <c r="A68" s="35">
        <v>46000</v>
      </c>
      <c r="B68" s="152" t="s">
        <v>41</v>
      </c>
      <c r="C68" s="152" t="s">
        <v>30</v>
      </c>
      <c r="D68" s="153" t="s">
        <v>33</v>
      </c>
      <c r="E68" s="152">
        <v>200</v>
      </c>
      <c r="F68" s="154" t="s">
        <v>186</v>
      </c>
      <c r="G68" s="158">
        <v>98000</v>
      </c>
      <c r="H68" s="156"/>
      <c r="I68" s="39"/>
      <c r="J68" s="39"/>
      <c r="K68" s="33">
        <f>G68</f>
        <v>98000</v>
      </c>
      <c r="L68" s="33"/>
    </row>
    <row r="69" spans="1:54">
      <c r="A69" s="30">
        <v>46004</v>
      </c>
      <c r="B69" s="30" t="s">
        <v>41</v>
      </c>
      <c r="C69" s="31" t="s">
        <v>26</v>
      </c>
      <c r="D69" s="30" t="s">
        <v>42</v>
      </c>
      <c r="E69" s="31">
        <v>1</v>
      </c>
      <c r="F69" s="32" t="s">
        <v>143</v>
      </c>
      <c r="G69" s="33">
        <v>15000</v>
      </c>
      <c r="H69" s="34"/>
      <c r="I69" s="34"/>
      <c r="J69" s="34"/>
      <c r="K69" s="33"/>
      <c r="L69" s="33">
        <f>G69</f>
        <v>15000</v>
      </c>
    </row>
    <row r="70" spans="1:54">
      <c r="A70" s="35">
        <v>46007</v>
      </c>
      <c r="B70" s="152" t="s">
        <v>41</v>
      </c>
      <c r="C70" s="152" t="s">
        <v>30</v>
      </c>
      <c r="D70" s="153" t="s">
        <v>33</v>
      </c>
      <c r="E70" s="152">
        <v>200</v>
      </c>
      <c r="F70" s="154" t="s">
        <v>180</v>
      </c>
      <c r="G70" s="158">
        <f>168.5*E70</f>
        <v>33700</v>
      </c>
      <c r="H70" s="156"/>
      <c r="I70" s="39"/>
      <c r="J70" s="39"/>
      <c r="K70" s="33"/>
      <c r="L70" s="33"/>
    </row>
    <row r="71" spans="1:54">
      <c r="A71" s="35">
        <v>46007</v>
      </c>
      <c r="B71" s="48" t="s">
        <v>41</v>
      </c>
      <c r="C71" s="151" t="s">
        <v>31</v>
      </c>
      <c r="D71" s="47" t="s">
        <v>33</v>
      </c>
      <c r="E71" s="48">
        <v>100</v>
      </c>
      <c r="F71" s="155" t="s">
        <v>187</v>
      </c>
      <c r="G71" s="159">
        <v>24500</v>
      </c>
      <c r="H71" s="157"/>
      <c r="I71" s="51"/>
      <c r="J71" s="51"/>
      <c r="K71" s="33">
        <f>G70+G71</f>
        <v>58200</v>
      </c>
      <c r="L71" s="33"/>
    </row>
    <row r="72" spans="1:54">
      <c r="A72" s="47">
        <v>46010</v>
      </c>
      <c r="B72" s="48" t="s">
        <v>41</v>
      </c>
      <c r="C72" s="48" t="s">
        <v>32</v>
      </c>
      <c r="D72" s="47" t="s">
        <v>47</v>
      </c>
      <c r="E72" s="48">
        <v>2</v>
      </c>
      <c r="F72" s="49" t="s">
        <v>188</v>
      </c>
      <c r="G72" s="50">
        <f>25500*2</f>
        <v>51000</v>
      </c>
      <c r="H72" s="39"/>
      <c r="I72" s="39"/>
      <c r="J72" s="39"/>
      <c r="K72" s="50">
        <f>G72</f>
        <v>51000</v>
      </c>
      <c r="L72" s="50">
        <v>0</v>
      </c>
    </row>
    <row r="73" spans="1:54" s="165" customFormat="1">
      <c r="A73" s="161">
        <v>46010</v>
      </c>
      <c r="B73" s="161" t="s">
        <v>41</v>
      </c>
      <c r="C73" s="162" t="s">
        <v>147</v>
      </c>
      <c r="D73" s="161" t="s">
        <v>147</v>
      </c>
      <c r="E73" s="162">
        <v>1</v>
      </c>
      <c r="F73" s="163" t="s">
        <v>189</v>
      </c>
      <c r="G73" s="164">
        <f>31961.12+6711.84</f>
        <v>38672.959999999999</v>
      </c>
      <c r="H73" s="164"/>
      <c r="I73" s="164"/>
      <c r="J73" s="164"/>
      <c r="K73" s="164">
        <v>0</v>
      </c>
      <c r="L73" s="164"/>
      <c r="M73" s="166">
        <f>G73</f>
        <v>38672.959999999999</v>
      </c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</row>
    <row r="74" spans="1:54">
      <c r="A74" s="30">
        <v>45941</v>
      </c>
      <c r="B74" s="31" t="s">
        <v>41</v>
      </c>
      <c r="C74" s="31" t="s">
        <v>46</v>
      </c>
      <c r="D74" s="31" t="s">
        <v>56</v>
      </c>
      <c r="E74" s="31">
        <v>1</v>
      </c>
      <c r="F74" s="32" t="s">
        <v>162</v>
      </c>
      <c r="G74" s="33">
        <v>44580.74</v>
      </c>
      <c r="H74" s="33"/>
      <c r="I74" s="33"/>
      <c r="J74" s="33"/>
      <c r="K74" s="33"/>
      <c r="L74" s="33">
        <f>G74</f>
        <v>44580.74</v>
      </c>
    </row>
    <row r="75" spans="1:54">
      <c r="A75" s="30">
        <v>46011</v>
      </c>
      <c r="B75" s="42" t="s">
        <v>41</v>
      </c>
      <c r="C75" s="31" t="s">
        <v>38</v>
      </c>
      <c r="D75" s="30" t="s">
        <v>132</v>
      </c>
      <c r="E75" s="31">
        <v>2</v>
      </c>
      <c r="F75" s="32" t="s">
        <v>190</v>
      </c>
      <c r="G75" s="33">
        <f>9000*2</f>
        <v>18000</v>
      </c>
      <c r="H75" s="34"/>
      <c r="I75" s="34"/>
      <c r="J75" s="34"/>
      <c r="K75" s="33">
        <f>G75</f>
        <v>18000</v>
      </c>
      <c r="L75" s="33"/>
    </row>
    <row r="76" spans="1:54">
      <c r="A76" s="30">
        <v>46012</v>
      </c>
      <c r="B76" s="31" t="s">
        <v>41</v>
      </c>
      <c r="C76" s="31" t="s">
        <v>58</v>
      </c>
      <c r="D76" s="31" t="s">
        <v>59</v>
      </c>
      <c r="E76" s="31"/>
      <c r="F76" s="32" t="s">
        <v>165</v>
      </c>
      <c r="G76" s="33">
        <v>16000</v>
      </c>
      <c r="H76" s="33"/>
      <c r="I76" s="33"/>
      <c r="J76" s="33"/>
      <c r="K76" s="33">
        <f>G76</f>
        <v>16000</v>
      </c>
      <c r="L76" s="33"/>
    </row>
    <row r="77" spans="1:54">
      <c r="A77" s="35">
        <v>45992</v>
      </c>
      <c r="B77" s="152" t="s">
        <v>41</v>
      </c>
      <c r="C77" s="152" t="s">
        <v>30</v>
      </c>
      <c r="D77" s="153" t="s">
        <v>33</v>
      </c>
      <c r="E77" s="152">
        <v>200</v>
      </c>
      <c r="F77" s="154" t="s">
        <v>180</v>
      </c>
      <c r="G77" s="158">
        <f>168.5*E77</f>
        <v>33700</v>
      </c>
      <c r="H77" s="156"/>
      <c r="I77" s="39"/>
      <c r="J77" s="39"/>
      <c r="K77" s="33"/>
      <c r="L77" s="33"/>
    </row>
    <row r="78" spans="1:54">
      <c r="A78" s="35">
        <v>45992</v>
      </c>
      <c r="B78" s="48" t="s">
        <v>41</v>
      </c>
      <c r="C78" s="151" t="s">
        <v>31</v>
      </c>
      <c r="D78" s="47" t="s">
        <v>33</v>
      </c>
      <c r="E78" s="48">
        <v>100</v>
      </c>
      <c r="F78" s="155" t="s">
        <v>187</v>
      </c>
      <c r="G78" s="159">
        <v>24500</v>
      </c>
      <c r="H78" s="157"/>
      <c r="I78" s="51"/>
      <c r="J78" s="51"/>
      <c r="K78" s="33">
        <f>G77+G78</f>
        <v>58200</v>
      </c>
      <c r="L78" s="33"/>
    </row>
    <row r="79" spans="1:54" s="165" customFormat="1" ht="15" thickBot="1">
      <c r="A79" s="161">
        <v>46017</v>
      </c>
      <c r="B79" s="161" t="s">
        <v>41</v>
      </c>
      <c r="C79" s="162" t="s">
        <v>147</v>
      </c>
      <c r="D79" s="161" t="s">
        <v>147</v>
      </c>
      <c r="E79" s="162">
        <v>1</v>
      </c>
      <c r="F79" s="163" t="s">
        <v>191</v>
      </c>
      <c r="G79" s="164">
        <f>62064.57+12576.59+58700-2176.06</f>
        <v>131165.1</v>
      </c>
      <c r="H79" s="164"/>
      <c r="I79" s="164"/>
      <c r="J79" s="164"/>
      <c r="K79" s="164">
        <v>0</v>
      </c>
      <c r="L79" s="164"/>
      <c r="M79" s="166">
        <f>G79</f>
        <v>131165.1</v>
      </c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</row>
    <row r="80" spans="1:54">
      <c r="A80" s="103">
        <v>45945</v>
      </c>
      <c r="B80" s="104" t="s">
        <v>41</v>
      </c>
      <c r="C80" s="105" t="s">
        <v>88</v>
      </c>
      <c r="D80" s="104" t="s">
        <v>89</v>
      </c>
      <c r="E80" s="105"/>
      <c r="F80" s="106" t="s">
        <v>156</v>
      </c>
      <c r="G80" s="107">
        <v>450000</v>
      </c>
      <c r="H80" s="107"/>
      <c r="I80" s="107"/>
      <c r="J80" s="107"/>
      <c r="K80" s="107">
        <v>183000</v>
      </c>
      <c r="L80" s="108"/>
      <c r="M80" s="131">
        <f>G80-K80</f>
        <v>267000</v>
      </c>
      <c r="N80" s="131"/>
    </row>
    <row r="81" spans="1:54" ht="15" thickBot="1">
      <c r="A81" s="109">
        <v>45945</v>
      </c>
      <c r="B81" s="110" t="s">
        <v>41</v>
      </c>
      <c r="C81" s="111" t="s">
        <v>88</v>
      </c>
      <c r="D81" s="110" t="s">
        <v>91</v>
      </c>
      <c r="E81" s="111"/>
      <c r="F81" s="112" t="s">
        <v>157</v>
      </c>
      <c r="G81" s="113">
        <v>450000</v>
      </c>
      <c r="H81" s="113"/>
      <c r="I81" s="113"/>
      <c r="J81" s="113"/>
      <c r="K81" s="113">
        <v>100000</v>
      </c>
      <c r="L81" s="114">
        <v>290000</v>
      </c>
      <c r="M81" s="131">
        <f>G81-K81-L81</f>
        <v>60000</v>
      </c>
    </row>
    <row r="82" spans="1:54">
      <c r="A82" s="47"/>
      <c r="B82" s="48"/>
      <c r="C82" s="31"/>
      <c r="D82" s="30"/>
      <c r="E82" s="31"/>
      <c r="F82" s="32"/>
      <c r="G82" s="50"/>
      <c r="H82" s="39"/>
      <c r="I82" s="39"/>
      <c r="J82" s="39"/>
      <c r="K82" s="50">
        <f>G82</f>
        <v>0</v>
      </c>
      <c r="L82" s="50"/>
    </row>
    <row r="83" spans="1:54">
      <c r="A83" s="47"/>
      <c r="B83" s="48"/>
      <c r="C83" s="31"/>
      <c r="D83" s="30"/>
      <c r="E83" s="31"/>
      <c r="F83" s="32"/>
      <c r="G83" s="50"/>
      <c r="H83" s="39"/>
      <c r="I83" s="39"/>
      <c r="J83" s="39"/>
      <c r="K83" s="50"/>
      <c r="L83" s="50"/>
    </row>
    <row r="84" spans="1:54">
      <c r="A84" s="47"/>
      <c r="B84" s="48"/>
      <c r="C84" s="31"/>
      <c r="D84" s="30"/>
      <c r="E84" s="31"/>
      <c r="F84" s="32"/>
      <c r="G84" s="131">
        <f>G14+G61+G62+G63+G64+G65+G66+G67+G68+G69+G70+G71+G72+G73+G74+G75+G76+G77+G78+G79</f>
        <v>849997.74999999988</v>
      </c>
      <c r="H84" s="39"/>
      <c r="I84" s="39"/>
      <c r="J84" s="39"/>
      <c r="K84" s="50"/>
      <c r="L84" s="50"/>
      <c r="M84" s="131"/>
    </row>
    <row r="85" spans="1:54">
      <c r="A85" s="47"/>
      <c r="B85" s="48"/>
      <c r="C85" s="31"/>
      <c r="D85" s="30"/>
      <c r="E85" s="31"/>
      <c r="F85" s="32"/>
      <c r="G85" s="50"/>
      <c r="H85" s="39"/>
      <c r="I85" s="39"/>
      <c r="J85" s="39"/>
      <c r="K85" s="50"/>
      <c r="L85" s="50"/>
    </row>
    <row r="86" spans="1:54">
      <c r="A86" s="47"/>
      <c r="B86" s="48"/>
      <c r="C86" s="31"/>
      <c r="D86" s="30"/>
      <c r="E86" s="31"/>
      <c r="F86" s="32"/>
      <c r="G86" s="50"/>
      <c r="H86" s="39"/>
      <c r="I86" s="39"/>
      <c r="J86" s="39"/>
      <c r="K86" s="50"/>
      <c r="L86" s="50"/>
    </row>
    <row r="87" spans="1:54">
      <c r="A87" s="47"/>
      <c r="B87" s="48"/>
      <c r="C87" s="31"/>
      <c r="D87" s="30"/>
      <c r="E87" s="31"/>
      <c r="F87" s="32"/>
      <c r="G87" s="50"/>
      <c r="H87" s="39"/>
      <c r="I87" s="39"/>
      <c r="J87" s="39"/>
      <c r="K87" s="50"/>
      <c r="L87" s="50"/>
    </row>
    <row r="88" spans="1:54">
      <c r="A88" s="47"/>
      <c r="B88" s="48"/>
      <c r="C88" s="31"/>
      <c r="D88" s="30"/>
      <c r="E88" s="31"/>
      <c r="F88" s="32"/>
      <c r="G88" s="50"/>
      <c r="H88" s="39"/>
      <c r="I88" s="39"/>
      <c r="J88" s="39"/>
      <c r="K88" s="50"/>
      <c r="L88" s="50"/>
    </row>
    <row r="89" spans="1:54" s="165" customFormat="1">
      <c r="A89" s="161"/>
      <c r="B89" s="161"/>
      <c r="C89" s="162"/>
      <c r="D89" s="161"/>
      <c r="E89" s="162"/>
      <c r="F89" s="163"/>
      <c r="G89" s="164"/>
      <c r="H89" s="164"/>
      <c r="I89" s="164"/>
      <c r="J89" s="164"/>
      <c r="K89" s="164"/>
      <c r="L89" s="164"/>
      <c r="M89" s="166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</row>
    <row r="90" spans="1:54" ht="15" thickBot="1">
      <c r="A90" s="35"/>
      <c r="B90" s="152"/>
      <c r="C90" s="152"/>
      <c r="D90" s="153"/>
      <c r="E90" s="152"/>
      <c r="F90" s="154"/>
      <c r="G90" s="158"/>
      <c r="H90" s="156"/>
      <c r="I90" s="39"/>
      <c r="J90" s="39"/>
      <c r="K90" s="33"/>
      <c r="L90" s="33"/>
    </row>
    <row r="91" spans="1:54">
      <c r="A91" s="103"/>
      <c r="B91" s="104"/>
      <c r="C91" s="105"/>
      <c r="D91" s="104"/>
      <c r="E91" s="105"/>
      <c r="F91" s="106"/>
      <c r="G91" s="107"/>
      <c r="H91" s="107"/>
      <c r="I91" s="107"/>
      <c r="J91" s="107"/>
      <c r="K91" s="107"/>
      <c r="L91" s="108"/>
      <c r="M91" s="205"/>
    </row>
    <row r="92" spans="1:54" ht="15" thickBot="1">
      <c r="A92" s="109"/>
      <c r="B92" s="110"/>
      <c r="C92" s="111"/>
      <c r="D92" s="110"/>
      <c r="E92" s="111"/>
      <c r="F92" s="112"/>
      <c r="G92" s="113"/>
      <c r="H92" s="113"/>
      <c r="I92" s="113"/>
      <c r="J92" s="113"/>
      <c r="K92" s="113"/>
      <c r="L92" s="114"/>
      <c r="M92" s="206"/>
    </row>
    <row r="93" spans="1:54">
      <c r="A93" s="30"/>
      <c r="B93" s="30"/>
      <c r="C93" s="31"/>
      <c r="D93" s="30"/>
      <c r="E93" s="31"/>
      <c r="F93" s="32"/>
      <c r="G93" s="33"/>
      <c r="H93" s="34"/>
      <c r="I93" s="34"/>
      <c r="J93" s="34"/>
      <c r="K93" s="33"/>
      <c r="L93" s="33"/>
    </row>
    <row r="94" spans="1:54" s="165" customFormat="1">
      <c r="A94" s="161"/>
      <c r="B94" s="161"/>
      <c r="C94" s="162"/>
      <c r="D94" s="161"/>
      <c r="E94" s="162"/>
      <c r="F94" s="163"/>
      <c r="G94" s="164"/>
      <c r="H94" s="164"/>
      <c r="I94" s="164"/>
      <c r="J94" s="164"/>
      <c r="K94" s="164"/>
      <c r="L94" s="164"/>
      <c r="M94" s="166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  <c r="AP94" s="167"/>
      <c r="AQ94" s="167"/>
      <c r="AR94" s="167"/>
      <c r="AS94" s="167"/>
      <c r="AT94" s="167"/>
      <c r="AU94" s="167"/>
      <c r="AV94" s="167"/>
      <c r="AW94" s="167"/>
      <c r="AX94" s="167"/>
      <c r="AY94" s="167"/>
      <c r="AZ94" s="167"/>
      <c r="BA94" s="167"/>
      <c r="BB94" s="167"/>
    </row>
    <row r="95" spans="1:54">
      <c r="A95" s="35"/>
      <c r="B95" s="152"/>
      <c r="C95" s="152"/>
      <c r="D95" s="153"/>
      <c r="E95" s="152"/>
      <c r="F95" s="154"/>
      <c r="G95" s="158"/>
      <c r="H95" s="156"/>
      <c r="I95" s="39"/>
      <c r="J95" s="39"/>
      <c r="K95" s="33"/>
      <c r="L95" s="33"/>
    </row>
    <row r="96" spans="1:54">
      <c r="A96" s="35"/>
      <c r="B96" s="48"/>
      <c r="C96" s="151"/>
      <c r="D96" s="47"/>
      <c r="E96" s="48"/>
      <c r="F96" s="155"/>
      <c r="G96" s="159"/>
      <c r="H96" s="157"/>
      <c r="I96" s="51"/>
      <c r="J96" s="51"/>
      <c r="K96" s="33"/>
      <c r="L96" s="33"/>
    </row>
    <row r="97" spans="1:54">
      <c r="A97" s="35"/>
      <c r="B97" s="48"/>
      <c r="C97" s="151"/>
      <c r="D97" s="47"/>
      <c r="E97" s="48"/>
      <c r="F97" s="155"/>
      <c r="G97" s="159"/>
      <c r="H97" s="157"/>
      <c r="I97" s="51"/>
      <c r="J97" s="51"/>
      <c r="K97" s="33"/>
      <c r="L97" s="33"/>
    </row>
    <row r="98" spans="1:54">
      <c r="A98" s="40"/>
      <c r="B98" s="31"/>
      <c r="C98" s="42"/>
      <c r="D98" s="40"/>
      <c r="E98" s="42"/>
      <c r="F98" s="43"/>
      <c r="G98" s="33"/>
      <c r="H98" s="44"/>
      <c r="I98" s="44"/>
      <c r="J98" s="44"/>
      <c r="K98" s="33"/>
      <c r="L98" s="50"/>
    </row>
    <row r="99" spans="1:54">
      <c r="A99" s="30"/>
      <c r="B99" s="31"/>
      <c r="C99" s="31"/>
      <c r="D99" s="31"/>
      <c r="E99" s="31"/>
      <c r="F99" s="32"/>
      <c r="G99" s="33"/>
      <c r="H99" s="33"/>
      <c r="I99" s="33"/>
      <c r="J99" s="33"/>
      <c r="K99" s="33"/>
      <c r="L99" s="33"/>
    </row>
    <row r="100" spans="1:54">
      <c r="A100" s="30"/>
      <c r="B100" s="30"/>
      <c r="C100" s="31"/>
      <c r="D100" s="30"/>
      <c r="E100" s="31"/>
      <c r="F100" s="32"/>
      <c r="G100" s="33"/>
      <c r="H100" s="34"/>
      <c r="I100" s="34"/>
      <c r="J100" s="34"/>
      <c r="K100" s="33"/>
      <c r="L100" s="33"/>
    </row>
    <row r="101" spans="1:54">
      <c r="A101" s="47"/>
      <c r="B101" s="48"/>
      <c r="C101" s="31"/>
      <c r="D101" s="30"/>
      <c r="E101" s="31"/>
      <c r="F101" s="32"/>
      <c r="G101" s="50"/>
      <c r="H101" s="39"/>
      <c r="I101" s="39"/>
      <c r="J101" s="39"/>
      <c r="K101" s="33"/>
      <c r="L101" s="50"/>
      <c r="M101" s="131"/>
    </row>
    <row r="102" spans="1:54" s="165" customFormat="1">
      <c r="A102" s="161"/>
      <c r="B102" s="161"/>
      <c r="C102" s="162"/>
      <c r="D102" s="161"/>
      <c r="E102" s="162"/>
      <c r="F102" s="163"/>
      <c r="G102" s="164"/>
      <c r="H102" s="164"/>
      <c r="I102" s="164"/>
      <c r="J102" s="164"/>
      <c r="K102" s="164"/>
      <c r="L102" s="164"/>
      <c r="M102" s="166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7"/>
      <c r="AV102" s="167"/>
      <c r="AW102" s="167"/>
      <c r="AX102" s="167"/>
      <c r="AY102" s="167"/>
      <c r="AZ102" s="167"/>
      <c r="BA102" s="167"/>
      <c r="BB102" s="167"/>
    </row>
    <row r="103" spans="1:54">
      <c r="A103" s="30"/>
      <c r="B103" s="31"/>
      <c r="C103" s="31"/>
      <c r="D103" s="31"/>
      <c r="E103" s="31"/>
      <c r="F103" s="32"/>
      <c r="G103" s="33"/>
      <c r="H103" s="33"/>
      <c r="I103" s="33"/>
      <c r="J103" s="33"/>
      <c r="K103" s="33"/>
      <c r="L103" s="33"/>
    </row>
    <row r="104" spans="1:54">
      <c r="A104" s="40"/>
      <c r="B104" s="31"/>
      <c r="C104" s="42"/>
      <c r="D104" s="40"/>
      <c r="E104" s="42"/>
      <c r="F104" s="43"/>
      <c r="G104" s="33"/>
      <c r="H104" s="44"/>
      <c r="I104" s="44"/>
      <c r="J104" s="44"/>
      <c r="K104" s="33"/>
      <c r="L104" s="50"/>
    </row>
    <row r="105" spans="1:54">
      <c r="A105" s="40"/>
      <c r="B105" s="31"/>
      <c r="C105" s="42"/>
      <c r="D105" s="40"/>
      <c r="E105" s="42"/>
      <c r="F105" s="43"/>
      <c r="G105" s="33"/>
      <c r="H105" s="44"/>
      <c r="I105" s="44"/>
      <c r="J105" s="44"/>
      <c r="K105" s="33"/>
      <c r="L105" s="40"/>
    </row>
    <row r="106" spans="1:54">
      <c r="A106" s="47"/>
      <c r="B106" s="48"/>
      <c r="C106" s="31"/>
      <c r="D106" s="30"/>
      <c r="E106" s="31"/>
      <c r="F106" s="32"/>
      <c r="G106" s="50"/>
      <c r="H106" s="39"/>
      <c r="I106" s="39"/>
      <c r="J106" s="39"/>
      <c r="K106" s="50"/>
      <c r="L106" s="50"/>
    </row>
    <row r="107" spans="1:54" s="165" customFormat="1">
      <c r="A107" s="161"/>
      <c r="B107" s="161"/>
      <c r="C107" s="162"/>
      <c r="D107" s="161"/>
      <c r="E107" s="162"/>
      <c r="F107" s="163"/>
      <c r="G107" s="164"/>
      <c r="H107" s="164"/>
      <c r="I107" s="164"/>
      <c r="J107" s="164"/>
      <c r="K107" s="164"/>
      <c r="L107" s="164"/>
      <c r="M107" s="166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  <c r="AP107" s="167"/>
      <c r="AQ107" s="167"/>
      <c r="AR107" s="167"/>
      <c r="AS107" s="167"/>
      <c r="AT107" s="167"/>
      <c r="AU107" s="167"/>
      <c r="AV107" s="167"/>
      <c r="AW107" s="167"/>
      <c r="AX107" s="167"/>
      <c r="AY107" s="167"/>
      <c r="AZ107" s="167"/>
      <c r="BA107" s="167"/>
      <c r="BB107" s="167"/>
    </row>
    <row r="108" spans="1:54">
      <c r="A108" s="35"/>
      <c r="B108" s="152"/>
      <c r="C108" s="152"/>
      <c r="D108" s="153"/>
      <c r="E108" s="152"/>
      <c r="F108" s="154"/>
      <c r="G108" s="158"/>
      <c r="H108" s="156"/>
      <c r="I108" s="39"/>
      <c r="J108" s="39"/>
      <c r="K108" s="33"/>
      <c r="L108" s="33"/>
    </row>
    <row r="109" spans="1:54" ht="15" thickBot="1">
      <c r="A109" s="35"/>
      <c r="B109" s="152"/>
      <c r="C109" s="152"/>
      <c r="D109" s="153"/>
      <c r="E109" s="152"/>
      <c r="F109" s="154"/>
      <c r="G109" s="158"/>
      <c r="H109" s="156"/>
      <c r="I109" s="39"/>
      <c r="J109" s="39"/>
      <c r="K109" s="33"/>
      <c r="L109" s="33"/>
    </row>
    <row r="110" spans="1:54">
      <c r="A110" s="103"/>
      <c r="B110" s="104"/>
      <c r="C110" s="105"/>
      <c r="D110" s="104"/>
      <c r="E110" s="105"/>
      <c r="F110" s="106"/>
      <c r="G110" s="107"/>
      <c r="H110" s="107"/>
      <c r="I110" s="107"/>
      <c r="J110" s="107"/>
      <c r="K110" s="107"/>
      <c r="L110" s="108"/>
      <c r="M110" s="205"/>
    </row>
    <row r="111" spans="1:54" ht="15" thickBot="1">
      <c r="A111" s="109"/>
      <c r="B111" s="110"/>
      <c r="C111" s="111"/>
      <c r="D111" s="110"/>
      <c r="E111" s="111"/>
      <c r="F111" s="112"/>
      <c r="G111" s="113"/>
      <c r="H111" s="113"/>
      <c r="I111" s="113"/>
      <c r="J111" s="113"/>
      <c r="K111" s="113"/>
      <c r="L111" s="114"/>
      <c r="M111" s="206"/>
    </row>
    <row r="112" spans="1:54" s="190" customFormat="1">
      <c r="A112" s="186"/>
      <c r="B112" s="186"/>
      <c r="C112" s="186"/>
      <c r="D112" s="186"/>
      <c r="E112" s="186"/>
      <c r="F112" s="186"/>
      <c r="G112" s="186"/>
      <c r="H112" s="187"/>
      <c r="I112" s="187"/>
      <c r="J112" s="187"/>
      <c r="K112" s="188"/>
      <c r="L112" s="187"/>
      <c r="M112" s="200"/>
    </row>
    <row r="113" spans="1:13" s="190" customFormat="1">
      <c r="A113" s="186"/>
      <c r="B113" s="186"/>
      <c r="C113" s="186"/>
      <c r="D113" s="186"/>
      <c r="E113" s="186"/>
      <c r="F113" s="186"/>
      <c r="G113" s="186"/>
      <c r="H113" s="187"/>
      <c r="I113" s="187"/>
      <c r="J113" s="187"/>
      <c r="K113" s="188"/>
      <c r="L113" s="191"/>
      <c r="M113" s="200"/>
    </row>
    <row r="114" spans="1:13" s="190" customFormat="1">
      <c r="A114" s="186"/>
      <c r="B114" s="186"/>
      <c r="C114" s="186"/>
      <c r="D114" s="186"/>
      <c r="E114" s="186"/>
      <c r="F114" s="186"/>
      <c r="G114" s="186"/>
      <c r="H114" s="187"/>
      <c r="I114" s="187"/>
      <c r="J114" s="187"/>
      <c r="K114" s="188"/>
      <c r="L114" s="191"/>
      <c r="M114" s="189"/>
    </row>
    <row r="115" spans="1:13" s="190" customFormat="1">
      <c r="A115" s="186"/>
      <c r="B115" s="186"/>
      <c r="C115" s="186"/>
      <c r="D115" s="186"/>
      <c r="E115" s="186"/>
      <c r="F115" s="186"/>
      <c r="G115" s="186"/>
      <c r="H115" s="187"/>
      <c r="I115" s="187"/>
      <c r="J115" s="187"/>
      <c r="K115" s="188"/>
      <c r="L115" s="191"/>
      <c r="M115" s="189"/>
    </row>
    <row r="116" spans="1:13" s="190" customFormat="1">
      <c r="A116" s="186"/>
      <c r="B116" s="186"/>
      <c r="C116" s="186"/>
      <c r="D116" s="186"/>
      <c r="E116" s="186"/>
      <c r="F116" s="186"/>
      <c r="G116" s="186"/>
      <c r="H116" s="187"/>
      <c r="I116" s="187"/>
      <c r="J116" s="187"/>
      <c r="K116" s="188"/>
      <c r="L116" s="191"/>
      <c r="M116" s="189"/>
    </row>
    <row r="117" spans="1:13" s="190" customFormat="1">
      <c r="A117" s="186"/>
      <c r="B117" s="186"/>
      <c r="C117" s="186"/>
      <c r="D117" s="186"/>
      <c r="E117" s="186"/>
      <c r="F117" s="186"/>
      <c r="G117" s="186"/>
      <c r="H117" s="187"/>
      <c r="I117" s="187"/>
      <c r="J117" s="187"/>
      <c r="K117" s="188"/>
      <c r="L117" s="191"/>
      <c r="M117" s="189"/>
    </row>
    <row r="118" spans="1:13" s="190" customFormat="1">
      <c r="A118" s="186"/>
      <c r="B118" s="186"/>
      <c r="C118" s="186"/>
      <c r="D118" s="186"/>
      <c r="E118" s="186"/>
      <c r="F118" s="186"/>
      <c r="G118" s="186"/>
      <c r="H118" s="187"/>
      <c r="I118" s="187"/>
      <c r="J118" s="187"/>
      <c r="K118" s="188"/>
      <c r="L118" s="191"/>
      <c r="M118" s="189"/>
    </row>
    <row r="119" spans="1:13" s="190" customFormat="1">
      <c r="A119" s="186"/>
      <c r="B119" s="186"/>
      <c r="C119" s="186"/>
      <c r="D119" s="186"/>
      <c r="E119" s="186"/>
      <c r="F119" s="186"/>
      <c r="G119" s="186"/>
      <c r="H119" s="187"/>
      <c r="I119" s="187"/>
      <c r="J119" s="187"/>
      <c r="K119" s="188"/>
      <c r="L119" s="191"/>
      <c r="M119" s="189"/>
    </row>
    <row r="120" spans="1:13" s="190" customFormat="1">
      <c r="A120" s="186"/>
      <c r="B120" s="186"/>
      <c r="C120" s="186"/>
      <c r="D120" s="186"/>
      <c r="E120" s="186"/>
      <c r="F120" s="186"/>
      <c r="G120" s="186"/>
      <c r="H120" s="187"/>
      <c r="I120" s="187"/>
      <c r="J120" s="187"/>
      <c r="K120" s="188"/>
      <c r="L120" s="191"/>
      <c r="M120" s="189"/>
    </row>
    <row r="121" spans="1:13" s="190" customFormat="1">
      <c r="A121" s="186"/>
      <c r="B121" s="186"/>
      <c r="C121" s="186"/>
      <c r="D121" s="186"/>
      <c r="E121" s="186"/>
      <c r="F121" s="186"/>
      <c r="G121" s="186"/>
      <c r="H121" s="187"/>
      <c r="I121" s="187"/>
      <c r="J121" s="187"/>
      <c r="K121" s="188"/>
      <c r="L121" s="191"/>
      <c r="M121" s="189"/>
    </row>
    <row r="122" spans="1:13" s="190" customFormat="1">
      <c r="A122" s="186"/>
      <c r="B122" s="186"/>
      <c r="C122" s="186"/>
      <c r="D122" s="186"/>
      <c r="E122" s="186"/>
      <c r="F122" s="186"/>
      <c r="G122" s="186"/>
      <c r="H122" s="187"/>
      <c r="I122" s="187"/>
      <c r="J122" s="187"/>
      <c r="K122" s="188"/>
      <c r="L122" s="191"/>
      <c r="M122" s="189"/>
    </row>
    <row r="123" spans="1:13" s="190" customFormat="1">
      <c r="A123" s="186"/>
      <c r="B123" s="186"/>
      <c r="C123" s="186"/>
      <c r="D123" s="186"/>
      <c r="E123" s="186"/>
      <c r="F123" s="186"/>
      <c r="G123" s="186"/>
      <c r="H123" s="187"/>
      <c r="I123" s="187"/>
      <c r="J123" s="187"/>
      <c r="K123" s="188"/>
      <c r="L123" s="191"/>
      <c r="M123" s="189"/>
    </row>
    <row r="124" spans="1:13" s="190" customFormat="1">
      <c r="A124" s="186"/>
      <c r="B124" s="186"/>
      <c r="C124" s="186"/>
      <c r="D124" s="186"/>
      <c r="E124" s="186"/>
      <c r="F124" s="186"/>
      <c r="G124" s="186"/>
      <c r="H124" s="187"/>
      <c r="I124" s="187"/>
      <c r="J124" s="187"/>
      <c r="K124" s="188"/>
      <c r="L124" s="191"/>
      <c r="M124" s="189"/>
    </row>
    <row r="125" spans="1:13" s="190" customFormat="1">
      <c r="A125" s="186"/>
      <c r="B125" s="186"/>
      <c r="C125" s="186"/>
      <c r="D125" s="186"/>
      <c r="E125" s="186"/>
      <c r="F125" s="186"/>
      <c r="G125" s="186"/>
      <c r="H125" s="187"/>
      <c r="I125" s="187"/>
      <c r="J125" s="187"/>
      <c r="K125" s="188"/>
      <c r="L125" s="191"/>
      <c r="M125" s="189"/>
    </row>
    <row r="126" spans="1:13" s="190" customFormat="1">
      <c r="A126" s="186"/>
      <c r="B126" s="186"/>
      <c r="C126" s="186"/>
      <c r="D126" s="186"/>
      <c r="E126" s="186"/>
      <c r="F126" s="186"/>
      <c r="G126" s="186"/>
      <c r="H126" s="187"/>
      <c r="I126" s="187"/>
      <c r="J126" s="187"/>
      <c r="K126" s="188"/>
      <c r="L126" s="191"/>
      <c r="M126" s="189"/>
    </row>
    <row r="127" spans="1:13" s="190" customFormat="1">
      <c r="A127" s="186"/>
      <c r="B127" s="186"/>
      <c r="C127" s="186"/>
      <c r="D127" s="186"/>
      <c r="E127" s="186"/>
      <c r="F127" s="186"/>
      <c r="G127" s="186"/>
      <c r="H127" s="187"/>
      <c r="I127" s="187"/>
      <c r="J127" s="187"/>
      <c r="K127" s="188"/>
      <c r="L127" s="191"/>
      <c r="M127" s="189"/>
    </row>
    <row r="128" spans="1:13" s="190" customFormat="1">
      <c r="A128" s="186"/>
      <c r="B128" s="186"/>
      <c r="C128" s="186"/>
      <c r="D128" s="186"/>
      <c r="E128" s="186"/>
      <c r="F128" s="186"/>
      <c r="G128" s="186"/>
      <c r="H128" s="187"/>
      <c r="I128" s="187"/>
      <c r="J128" s="187"/>
      <c r="K128" s="188"/>
      <c r="L128" s="191"/>
      <c r="M128" s="189"/>
    </row>
    <row r="129" spans="1:54" s="190" customFormat="1">
      <c r="A129" s="186"/>
      <c r="B129" s="186"/>
      <c r="C129" s="186"/>
      <c r="D129" s="186"/>
      <c r="E129" s="186"/>
      <c r="F129" s="186"/>
      <c r="G129" s="186"/>
      <c r="H129" s="187"/>
      <c r="I129" s="187"/>
      <c r="J129" s="187"/>
      <c r="K129" s="188"/>
      <c r="L129" s="191"/>
      <c r="M129" s="189"/>
    </row>
    <row r="130" spans="1:54" s="190" customFormat="1">
      <c r="A130" s="186"/>
      <c r="B130" s="186"/>
      <c r="C130" s="186"/>
      <c r="D130" s="186"/>
      <c r="E130" s="186"/>
      <c r="F130" s="186"/>
      <c r="G130" s="186"/>
      <c r="H130" s="187"/>
      <c r="I130" s="187"/>
      <c r="J130" s="187"/>
      <c r="K130" s="188"/>
      <c r="L130" s="191"/>
      <c r="M130" s="189"/>
    </row>
    <row r="131" spans="1:54" s="190" customFormat="1">
      <c r="A131" s="186"/>
      <c r="B131" s="186"/>
      <c r="C131" s="186"/>
      <c r="D131" s="186"/>
      <c r="E131" s="186"/>
      <c r="F131" s="186"/>
      <c r="G131" s="186"/>
      <c r="H131" s="187"/>
      <c r="I131" s="187"/>
      <c r="J131" s="187"/>
      <c r="K131" s="188"/>
      <c r="L131" s="191"/>
      <c r="M131" s="189"/>
    </row>
    <row r="132" spans="1:54" s="190" customFormat="1">
      <c r="A132" s="186"/>
      <c r="B132" s="186"/>
      <c r="C132" s="186"/>
      <c r="D132" s="186"/>
      <c r="E132" s="186"/>
      <c r="F132" s="186"/>
      <c r="G132" s="186"/>
      <c r="H132" s="187"/>
      <c r="I132" s="187"/>
      <c r="J132" s="187"/>
      <c r="K132" s="188"/>
      <c r="L132" s="191"/>
      <c r="M132" s="189"/>
    </row>
    <row r="133" spans="1:54" s="190" customFormat="1">
      <c r="A133" s="186"/>
      <c r="B133" s="186"/>
      <c r="C133" s="186"/>
      <c r="D133" s="186"/>
      <c r="E133" s="186"/>
      <c r="F133" s="186"/>
      <c r="G133" s="186"/>
      <c r="H133" s="187"/>
      <c r="I133" s="187"/>
      <c r="J133" s="187"/>
      <c r="K133" s="188"/>
      <c r="L133" s="191"/>
      <c r="M133" s="189"/>
    </row>
    <row r="134" spans="1:54" s="190" customFormat="1">
      <c r="A134" s="186"/>
      <c r="B134" s="186"/>
      <c r="C134" s="186"/>
      <c r="D134" s="186"/>
      <c r="E134" s="186"/>
      <c r="F134" s="186"/>
      <c r="G134" s="186"/>
      <c r="H134" s="187"/>
      <c r="I134" s="187"/>
      <c r="J134" s="187"/>
      <c r="K134" s="188"/>
      <c r="L134" s="191"/>
      <c r="M134" s="189"/>
    </row>
    <row r="135" spans="1:54" s="165" customFormat="1">
      <c r="A135" s="161">
        <v>45930</v>
      </c>
      <c r="B135" s="161" t="s">
        <v>41</v>
      </c>
      <c r="C135" s="162" t="s">
        <v>147</v>
      </c>
      <c r="D135" s="161" t="s">
        <v>147</v>
      </c>
      <c r="E135" s="162">
        <v>1</v>
      </c>
      <c r="F135" s="163" t="s">
        <v>155</v>
      </c>
      <c r="G135" s="164">
        <f>20677+4894.54+7415.75</f>
        <v>32987.29</v>
      </c>
      <c r="H135" s="164"/>
      <c r="I135" s="164"/>
      <c r="J135" s="164"/>
      <c r="K135" s="164">
        <v>0</v>
      </c>
      <c r="L135" s="164"/>
      <c r="M135" s="166">
        <f>G135</f>
        <v>32987.29</v>
      </c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7"/>
      <c r="AU135" s="167"/>
      <c r="AV135" s="167"/>
      <c r="AW135" s="167"/>
      <c r="AX135" s="167"/>
      <c r="AY135" s="167"/>
      <c r="AZ135" s="167"/>
      <c r="BA135" s="167"/>
      <c r="BB135" s="167"/>
    </row>
    <row r="136" spans="1:54">
      <c r="A136" s="35">
        <v>45940</v>
      </c>
      <c r="B136" s="152" t="s">
        <v>41</v>
      </c>
      <c r="C136" s="152" t="s">
        <v>30</v>
      </c>
      <c r="D136" s="153" t="s">
        <v>33</v>
      </c>
      <c r="E136" s="152">
        <v>600</v>
      </c>
      <c r="F136" s="154" t="s">
        <v>160</v>
      </c>
      <c r="G136" s="158">
        <f>62400+31200</f>
        <v>93600</v>
      </c>
      <c r="H136" s="156"/>
      <c r="I136" s="39"/>
      <c r="J136" s="39"/>
      <c r="K136" s="33">
        <f>G136</f>
        <v>93600</v>
      </c>
      <c r="L136" s="33"/>
    </row>
    <row r="137" spans="1:54">
      <c r="A137" s="47">
        <v>45943</v>
      </c>
      <c r="B137" s="48" t="s">
        <v>41</v>
      </c>
      <c r="C137" s="31" t="s">
        <v>32</v>
      </c>
      <c r="D137" s="30" t="s">
        <v>47</v>
      </c>
      <c r="E137" s="31">
        <v>4</v>
      </c>
      <c r="F137" s="32" t="s">
        <v>161</v>
      </c>
      <c r="G137" s="50">
        <f>25000*4</f>
        <v>100000</v>
      </c>
      <c r="H137" s="39"/>
      <c r="I137" s="39"/>
      <c r="J137" s="39"/>
      <c r="K137" s="50">
        <f>SUM(G137)</f>
        <v>100000</v>
      </c>
      <c r="L137" s="50"/>
    </row>
    <row r="138" spans="1:54">
      <c r="A138" s="30">
        <v>45943</v>
      </c>
      <c r="B138" s="30" t="s">
        <v>41</v>
      </c>
      <c r="C138" s="31" t="s">
        <v>26</v>
      </c>
      <c r="D138" s="30" t="s">
        <v>42</v>
      </c>
      <c r="E138" s="31">
        <v>1</v>
      </c>
      <c r="F138" s="32" t="s">
        <v>143</v>
      </c>
      <c r="G138" s="33">
        <v>10000</v>
      </c>
      <c r="H138" s="34"/>
      <c r="I138" s="34"/>
      <c r="J138" s="34"/>
      <c r="K138" s="33"/>
      <c r="L138" s="33">
        <f>G138</f>
        <v>10000</v>
      </c>
    </row>
    <row r="139" spans="1:54">
      <c r="A139" s="30">
        <v>45941</v>
      </c>
      <c r="B139" s="31" t="s">
        <v>41</v>
      </c>
      <c r="C139" s="31" t="s">
        <v>46</v>
      </c>
      <c r="D139" s="31" t="s">
        <v>56</v>
      </c>
      <c r="E139" s="31">
        <v>1</v>
      </c>
      <c r="F139" s="32" t="s">
        <v>162</v>
      </c>
      <c r="G139" s="33">
        <v>11677.6</v>
      </c>
      <c r="H139" s="33"/>
      <c r="I139" s="33"/>
      <c r="J139" s="33"/>
      <c r="K139" s="33"/>
      <c r="L139" s="33">
        <f>G139</f>
        <v>11677.6</v>
      </c>
    </row>
    <row r="140" spans="1:54" s="165" customFormat="1" ht="15" thickBot="1">
      <c r="A140" s="161">
        <v>45930</v>
      </c>
      <c r="B140" s="161" t="s">
        <v>41</v>
      </c>
      <c r="C140" s="162" t="s">
        <v>147</v>
      </c>
      <c r="D140" s="161" t="s">
        <v>147</v>
      </c>
      <c r="E140" s="162">
        <v>1</v>
      </c>
      <c r="F140" s="163" t="s">
        <v>163</v>
      </c>
      <c r="G140" s="164">
        <f>1119.23+235.04</f>
        <v>1354.27</v>
      </c>
      <c r="H140" s="164"/>
      <c r="I140" s="164"/>
      <c r="J140" s="164"/>
      <c r="K140" s="164">
        <v>0</v>
      </c>
      <c r="L140" s="164"/>
      <c r="M140" s="166">
        <f>G140</f>
        <v>1354.27</v>
      </c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7"/>
      <c r="AN140" s="167"/>
      <c r="AO140" s="167"/>
      <c r="AP140" s="167"/>
      <c r="AQ140" s="167"/>
      <c r="AR140" s="167"/>
      <c r="AS140" s="167"/>
      <c r="AT140" s="167"/>
      <c r="AU140" s="167"/>
      <c r="AV140" s="167"/>
      <c r="AW140" s="167"/>
      <c r="AX140" s="167"/>
      <c r="AY140" s="167"/>
      <c r="AZ140" s="167"/>
      <c r="BA140" s="167"/>
      <c r="BB140" s="167"/>
    </row>
    <row r="141" spans="1:54">
      <c r="A141" s="103">
        <v>45945</v>
      </c>
      <c r="B141" s="104" t="s">
        <v>41</v>
      </c>
      <c r="C141" s="105" t="s">
        <v>88</v>
      </c>
      <c r="D141" s="104" t="s">
        <v>89</v>
      </c>
      <c r="E141" s="105"/>
      <c r="F141" s="106" t="s">
        <v>156</v>
      </c>
      <c r="G141" s="107">
        <v>650000</v>
      </c>
      <c r="H141" s="107"/>
      <c r="I141" s="107"/>
      <c r="J141" s="107"/>
      <c r="K141" s="107">
        <v>400000</v>
      </c>
      <c r="L141" s="108">
        <v>250000</v>
      </c>
    </row>
    <row r="142" spans="1:54" ht="15" thickBot="1">
      <c r="A142" s="109">
        <v>45945</v>
      </c>
      <c r="B142" s="110" t="s">
        <v>41</v>
      </c>
      <c r="C142" s="111" t="s">
        <v>88</v>
      </c>
      <c r="D142" s="110" t="s">
        <v>91</v>
      </c>
      <c r="E142" s="111"/>
      <c r="F142" s="112" t="s">
        <v>157</v>
      </c>
      <c r="G142" s="113">
        <v>650000</v>
      </c>
      <c r="H142" s="113"/>
      <c r="I142" s="113"/>
      <c r="J142" s="113"/>
      <c r="K142" s="113">
        <v>350000</v>
      </c>
      <c r="L142" s="114">
        <v>300000</v>
      </c>
    </row>
    <row r="143" spans="1:54" s="165" customFormat="1">
      <c r="A143" s="161">
        <v>45947</v>
      </c>
      <c r="B143" s="161" t="s">
        <v>41</v>
      </c>
      <c r="C143" s="162" t="s">
        <v>147</v>
      </c>
      <c r="D143" s="161" t="s">
        <v>147</v>
      </c>
      <c r="E143" s="162">
        <v>1</v>
      </c>
      <c r="F143" s="163" t="s">
        <v>164</v>
      </c>
      <c r="G143" s="164">
        <f>31291.02+4829.1+7585.22+6600</f>
        <v>50305.340000000004</v>
      </c>
      <c r="H143" s="164"/>
      <c r="I143" s="164"/>
      <c r="J143" s="164"/>
      <c r="K143" s="164">
        <v>0</v>
      </c>
      <c r="L143" s="164"/>
      <c r="M143" s="166">
        <f>G143</f>
        <v>50305.340000000004</v>
      </c>
      <c r="N143" s="184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167"/>
      <c r="AN143" s="167"/>
      <c r="AO143" s="167"/>
      <c r="AP143" s="167"/>
      <c r="AQ143" s="167"/>
      <c r="AR143" s="167"/>
      <c r="AS143" s="167"/>
      <c r="AT143" s="167"/>
      <c r="AU143" s="167"/>
      <c r="AV143" s="167"/>
      <c r="AW143" s="167"/>
      <c r="AX143" s="167"/>
      <c r="AY143" s="167"/>
      <c r="AZ143" s="167"/>
      <c r="BA143" s="167"/>
      <c r="BB143" s="167"/>
    </row>
    <row r="144" spans="1:54">
      <c r="A144" s="30">
        <v>45951</v>
      </c>
      <c r="B144" s="31" t="s">
        <v>41</v>
      </c>
      <c r="C144" s="31" t="s">
        <v>58</v>
      </c>
      <c r="D144" s="31" t="s">
        <v>59</v>
      </c>
      <c r="E144" s="31"/>
      <c r="F144" s="32" t="s">
        <v>165</v>
      </c>
      <c r="G144" s="33">
        <v>16000</v>
      </c>
      <c r="H144" s="33"/>
      <c r="I144" s="33"/>
      <c r="J144" s="33"/>
      <c r="K144" s="33"/>
      <c r="L144" s="33">
        <f>G144</f>
        <v>16000</v>
      </c>
    </row>
    <row r="145" spans="1:54" s="165" customFormat="1">
      <c r="A145" s="161">
        <v>45954</v>
      </c>
      <c r="B145" s="161" t="s">
        <v>41</v>
      </c>
      <c r="C145" s="162" t="s">
        <v>147</v>
      </c>
      <c r="D145" s="161" t="s">
        <v>147</v>
      </c>
      <c r="E145" s="162">
        <v>1</v>
      </c>
      <c r="F145" s="163" t="s">
        <v>166</v>
      </c>
      <c r="G145" s="164">
        <f>54138.37+33500+17314.66+26000-5187.61</f>
        <v>125765.42</v>
      </c>
      <c r="H145" s="164"/>
      <c r="I145" s="164"/>
      <c r="J145" s="164"/>
      <c r="K145" s="164">
        <v>0</v>
      </c>
      <c r="L145" s="164"/>
      <c r="M145" s="166">
        <f>G145</f>
        <v>125765.42</v>
      </c>
      <c r="N145" s="184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67"/>
      <c r="AR145" s="167"/>
      <c r="AS145" s="167"/>
      <c r="AT145" s="167"/>
      <c r="AU145" s="167"/>
      <c r="AV145" s="167"/>
      <c r="AW145" s="167"/>
      <c r="AX145" s="167"/>
      <c r="AY145" s="167"/>
      <c r="AZ145" s="167"/>
      <c r="BA145" s="167"/>
      <c r="BB145" s="167"/>
    </row>
    <row r="146" spans="1:54">
      <c r="A146" s="35">
        <v>45958</v>
      </c>
      <c r="B146" s="152" t="s">
        <v>41</v>
      </c>
      <c r="C146" s="152" t="s">
        <v>30</v>
      </c>
      <c r="D146" s="153" t="s">
        <v>33</v>
      </c>
      <c r="E146" s="152">
        <v>400</v>
      </c>
      <c r="F146" s="154" t="s">
        <v>34</v>
      </c>
      <c r="G146" s="158">
        <v>62400</v>
      </c>
      <c r="H146" s="156"/>
      <c r="I146" s="39"/>
      <c r="J146" s="39"/>
      <c r="K146" s="33"/>
      <c r="L146" s="33"/>
    </row>
    <row r="147" spans="1:54">
      <c r="A147" s="35">
        <v>45958</v>
      </c>
      <c r="B147" s="48" t="s">
        <v>41</v>
      </c>
      <c r="C147" s="151" t="s">
        <v>31</v>
      </c>
      <c r="D147" s="47" t="s">
        <v>33</v>
      </c>
      <c r="E147" s="48">
        <v>400</v>
      </c>
      <c r="F147" s="155" t="s">
        <v>115</v>
      </c>
      <c r="G147" s="159">
        <v>143200</v>
      </c>
      <c r="H147" s="157"/>
      <c r="I147" s="51"/>
      <c r="J147" s="51"/>
      <c r="K147" s="33"/>
      <c r="L147" s="33"/>
    </row>
    <row r="148" spans="1:54">
      <c r="A148" s="35">
        <v>45958</v>
      </c>
      <c r="B148" s="48" t="s">
        <v>41</v>
      </c>
      <c r="C148" s="151" t="s">
        <v>31</v>
      </c>
      <c r="D148" s="47" t="s">
        <v>33</v>
      </c>
      <c r="E148" s="48">
        <v>200</v>
      </c>
      <c r="F148" s="155" t="s">
        <v>169</v>
      </c>
      <c r="G148" s="159">
        <v>71100</v>
      </c>
      <c r="H148" s="157"/>
      <c r="I148" s="51"/>
      <c r="J148" s="51"/>
      <c r="K148" s="33">
        <f>G146+G147+G148</f>
        <v>276700</v>
      </c>
      <c r="L148" s="33"/>
    </row>
    <row r="149" spans="1:54">
      <c r="A149" s="30">
        <v>46004</v>
      </c>
      <c r="B149" s="42" t="s">
        <v>41</v>
      </c>
      <c r="C149" s="31" t="s">
        <v>38</v>
      </c>
      <c r="D149" s="30" t="s">
        <v>132</v>
      </c>
      <c r="E149" s="31">
        <v>5</v>
      </c>
      <c r="F149" s="32" t="s">
        <v>133</v>
      </c>
      <c r="G149" s="33">
        <f>10000*5</f>
        <v>50000</v>
      </c>
      <c r="H149" s="34"/>
      <c r="I149" s="34"/>
      <c r="J149" s="34"/>
      <c r="K149" s="33">
        <v>0</v>
      </c>
      <c r="L149" s="33">
        <f>G149</f>
        <v>50000</v>
      </c>
    </row>
    <row r="150" spans="1:54">
      <c r="A150" s="35"/>
      <c r="B150" s="152"/>
      <c r="C150" s="152"/>
      <c r="D150" s="153"/>
      <c r="E150" s="152"/>
      <c r="F150" s="154"/>
      <c r="G150" s="158"/>
      <c r="H150" s="156"/>
      <c r="I150" s="39"/>
      <c r="J150" s="39"/>
      <c r="K150" s="33"/>
      <c r="L150" s="33"/>
    </row>
    <row r="151" spans="1:54">
      <c r="A151" s="150"/>
      <c r="B151" s="48"/>
      <c r="C151" s="151"/>
      <c r="D151" s="47"/>
      <c r="E151" s="48"/>
      <c r="F151" s="155"/>
      <c r="G151" s="159"/>
      <c r="H151" s="157"/>
      <c r="I151" s="51"/>
      <c r="J151" s="51"/>
      <c r="K151" s="33"/>
      <c r="L151" s="33"/>
      <c r="M151" s="131">
        <f>203823-G145+5187.61</f>
        <v>83245.19</v>
      </c>
    </row>
    <row r="152" spans="1:54">
      <c r="A152" s="47"/>
      <c r="B152" s="48"/>
      <c r="C152" s="48"/>
      <c r="D152" s="47"/>
      <c r="E152" s="48"/>
      <c r="F152" s="155"/>
      <c r="G152" s="160"/>
      <c r="H152" s="156"/>
      <c r="I152" s="39"/>
      <c r="J152" s="39"/>
      <c r="K152" s="50"/>
      <c r="L152" s="50"/>
    </row>
    <row r="153" spans="1:54">
      <c r="A153" s="30"/>
      <c r="B153" s="31"/>
      <c r="C153" s="31"/>
      <c r="D153" s="30"/>
      <c r="E153" s="31"/>
      <c r="F153" s="32"/>
      <c r="G153" s="45"/>
      <c r="H153" s="51"/>
      <c r="I153" s="51"/>
      <c r="J153" s="51"/>
      <c r="K153" s="33"/>
      <c r="L153" s="33"/>
    </row>
    <row r="154" spans="1:54">
      <c r="A154" s="30"/>
      <c r="B154" s="30"/>
      <c r="C154" s="31"/>
      <c r="D154" s="30"/>
      <c r="E154" s="31"/>
      <c r="F154" s="32"/>
      <c r="G154" s="33"/>
      <c r="H154" s="34"/>
      <c r="I154" s="34"/>
      <c r="J154" s="34"/>
      <c r="K154" s="33"/>
      <c r="L154" s="33"/>
    </row>
    <row r="155" spans="1:54">
      <c r="A155" s="30"/>
      <c r="B155" s="31"/>
      <c r="C155" s="31"/>
      <c r="D155" s="31"/>
      <c r="E155" s="31"/>
      <c r="F155" s="32"/>
      <c r="G155" s="33"/>
      <c r="H155" s="33"/>
      <c r="I155" s="33"/>
      <c r="J155" s="33"/>
      <c r="K155" s="33"/>
      <c r="L155" s="33"/>
    </row>
    <row r="156" spans="1:54">
      <c r="A156" s="47"/>
      <c r="B156" s="48"/>
      <c r="C156" s="31"/>
      <c r="D156" s="30"/>
      <c r="E156" s="31"/>
      <c r="F156" s="32"/>
      <c r="G156" s="50"/>
      <c r="H156" s="39"/>
      <c r="I156" s="39"/>
      <c r="J156" s="39"/>
      <c r="K156" s="50"/>
      <c r="L156" s="50"/>
    </row>
    <row r="157" spans="1:54">
      <c r="A157" s="35"/>
      <c r="B157" s="37"/>
      <c r="C157" s="48"/>
      <c r="D157" s="47"/>
      <c r="E157" s="48"/>
      <c r="F157" s="49"/>
      <c r="G157" s="52"/>
      <c r="H157" s="39"/>
      <c r="I157" s="39"/>
      <c r="J157" s="39"/>
      <c r="K157" s="52"/>
      <c r="L157" s="52"/>
    </row>
    <row r="158" spans="1:54" s="149" customFormat="1">
      <c r="A158" s="145"/>
      <c r="B158" s="48"/>
      <c r="C158" s="48"/>
      <c r="D158" s="145"/>
      <c r="E158" s="48"/>
      <c r="F158" s="146"/>
      <c r="G158" s="50"/>
      <c r="H158" s="148"/>
      <c r="I158" s="148"/>
      <c r="J158" s="148"/>
      <c r="K158" s="147"/>
      <c r="L158" s="50"/>
    </row>
    <row r="159" spans="1:54">
      <c r="A159" s="47"/>
      <c r="B159" s="42"/>
      <c r="C159" s="48"/>
      <c r="D159" s="47"/>
      <c r="E159" s="48"/>
      <c r="F159" s="49"/>
      <c r="G159" s="45"/>
      <c r="H159" s="51"/>
      <c r="I159" s="51"/>
      <c r="J159" s="51"/>
      <c r="K159" s="45"/>
      <c r="L159" s="45"/>
    </row>
    <row r="160" spans="1:54">
      <c r="A160" s="30"/>
      <c r="B160" s="42"/>
      <c r="C160" s="31"/>
      <c r="D160" s="30"/>
      <c r="E160" s="31"/>
      <c r="F160" s="32"/>
      <c r="G160" s="33"/>
      <c r="H160" s="34"/>
      <c r="I160" s="34"/>
      <c r="J160" s="34"/>
      <c r="K160" s="33"/>
      <c r="L160" s="33"/>
    </row>
    <row r="161" spans="1:54">
      <c r="A161" s="30"/>
      <c r="B161" s="42"/>
      <c r="C161" s="31"/>
      <c r="D161" s="30"/>
      <c r="E161" s="31"/>
      <c r="F161" s="32"/>
      <c r="G161" s="33"/>
      <c r="H161" s="34"/>
      <c r="I161" s="34"/>
      <c r="J161" s="34"/>
      <c r="K161" s="33"/>
      <c r="L161" s="33"/>
    </row>
    <row r="162" spans="1:54">
      <c r="A162" s="47"/>
      <c r="B162" s="48"/>
      <c r="C162" s="48"/>
      <c r="D162" s="47"/>
      <c r="E162" s="48"/>
      <c r="F162" s="49"/>
      <c r="G162" s="50"/>
      <c r="H162" s="39"/>
      <c r="I162" s="39"/>
      <c r="J162" s="39"/>
      <c r="K162" s="50"/>
      <c r="L162" s="50"/>
    </row>
    <row r="163" spans="1:54">
      <c r="A163" s="47"/>
      <c r="B163" s="48"/>
      <c r="C163" s="48"/>
      <c r="D163" s="47"/>
      <c r="E163" s="48"/>
      <c r="F163" s="49"/>
      <c r="G163" s="50"/>
      <c r="H163" s="39"/>
      <c r="I163" s="39"/>
      <c r="J163" s="39"/>
      <c r="K163" s="50"/>
      <c r="L163" s="50"/>
    </row>
    <row r="164" spans="1:54">
      <c r="A164" s="47"/>
      <c r="B164" s="48"/>
      <c r="C164" s="31"/>
      <c r="D164" s="30"/>
      <c r="E164" s="31"/>
      <c r="F164" s="32"/>
      <c r="G164" s="50"/>
      <c r="H164" s="39"/>
      <c r="I164" s="39"/>
      <c r="J164" s="39"/>
      <c r="K164" s="50"/>
      <c r="L164" s="50"/>
    </row>
    <row r="165" spans="1:54">
      <c r="A165" s="30"/>
      <c r="B165" s="42"/>
      <c r="C165" s="31"/>
      <c r="D165" s="30"/>
      <c r="E165" s="31"/>
      <c r="F165" s="32"/>
      <c r="G165" s="33"/>
      <c r="H165" s="34"/>
      <c r="I165" s="34"/>
      <c r="J165" s="34"/>
      <c r="K165" s="33"/>
      <c r="L165" s="33"/>
    </row>
    <row r="166" spans="1:54">
      <c r="A166" s="40"/>
      <c r="B166" s="31"/>
      <c r="C166" s="42"/>
      <c r="D166" s="40"/>
      <c r="E166" s="42"/>
      <c r="F166" s="43"/>
      <c r="G166" s="33"/>
      <c r="H166" s="44"/>
      <c r="I166" s="44"/>
      <c r="J166" s="44"/>
      <c r="K166" s="33"/>
      <c r="L166" s="50"/>
    </row>
    <row r="167" spans="1:54">
      <c r="A167" s="30"/>
      <c r="B167" s="30"/>
      <c r="C167" s="31"/>
      <c r="D167" s="30"/>
      <c r="E167" s="31"/>
      <c r="F167" s="32"/>
      <c r="G167" s="33"/>
      <c r="H167" s="34"/>
      <c r="I167" s="34"/>
      <c r="J167" s="34"/>
      <c r="K167" s="33"/>
      <c r="L167" s="33"/>
    </row>
    <row r="168" spans="1:54">
      <c r="A168" s="30"/>
      <c r="B168" s="46"/>
      <c r="C168" s="31"/>
      <c r="D168" s="30"/>
      <c r="E168" s="31"/>
      <c r="F168" s="32"/>
      <c r="G168" s="33"/>
      <c r="H168" s="34"/>
      <c r="I168" s="34"/>
      <c r="J168" s="34"/>
      <c r="K168" s="33"/>
      <c r="L168" s="33"/>
    </row>
    <row r="169" spans="1:54">
      <c r="A169" s="35"/>
      <c r="B169" s="37"/>
      <c r="C169" s="48"/>
      <c r="D169" s="47"/>
      <c r="E169" s="48"/>
      <c r="F169" s="49"/>
      <c r="G169" s="52"/>
      <c r="H169" s="39"/>
      <c r="I169" s="39"/>
      <c r="J169" s="39"/>
      <c r="K169" s="52"/>
      <c r="L169" s="52"/>
    </row>
    <row r="170" spans="1:54" s="149" customFormat="1">
      <c r="A170" s="145"/>
      <c r="B170" s="48"/>
      <c r="C170" s="48"/>
      <c r="D170" s="145"/>
      <c r="E170" s="48"/>
      <c r="F170" s="146"/>
      <c r="G170" s="50"/>
      <c r="H170" s="148"/>
      <c r="I170" s="148"/>
      <c r="J170" s="148"/>
      <c r="K170" s="147"/>
      <c r="L170" s="50"/>
    </row>
    <row r="171" spans="1:54">
      <c r="A171" s="47"/>
      <c r="B171" s="48"/>
      <c r="C171" s="48"/>
      <c r="D171" s="47"/>
      <c r="E171" s="48"/>
      <c r="F171" s="49"/>
      <c r="G171" s="50"/>
      <c r="H171" s="39"/>
      <c r="I171" s="39"/>
      <c r="J171" s="39"/>
      <c r="K171" s="50"/>
      <c r="L171" s="50"/>
    </row>
    <row r="172" spans="1:54" s="165" customFormat="1">
      <c r="A172" s="161"/>
      <c r="B172" s="161"/>
      <c r="C172" s="162"/>
      <c r="D172" s="161"/>
      <c r="E172" s="162"/>
      <c r="F172" s="163"/>
      <c r="G172" s="164"/>
      <c r="H172" s="164"/>
      <c r="I172" s="164"/>
      <c r="J172" s="164"/>
      <c r="K172" s="164"/>
      <c r="L172" s="164"/>
      <c r="M172" s="166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K172" s="167"/>
      <c r="AL172" s="167"/>
      <c r="AM172" s="167"/>
      <c r="AN172" s="167"/>
      <c r="AO172" s="167"/>
      <c r="AP172" s="167"/>
      <c r="AQ172" s="167"/>
      <c r="AR172" s="167"/>
      <c r="AS172" s="167"/>
      <c r="AT172" s="167"/>
      <c r="AU172" s="167"/>
      <c r="AV172" s="167"/>
      <c r="AW172" s="167"/>
      <c r="AX172" s="167"/>
      <c r="AY172" s="167"/>
      <c r="AZ172" s="167"/>
      <c r="BA172" s="167"/>
      <c r="BB172" s="167"/>
    </row>
    <row r="173" spans="1:54">
      <c r="A173" s="30"/>
      <c r="B173" s="31"/>
      <c r="C173" s="31"/>
      <c r="D173" s="31"/>
      <c r="E173" s="31"/>
      <c r="F173" s="32"/>
      <c r="G173" s="33"/>
      <c r="H173" s="33"/>
      <c r="I173" s="33"/>
      <c r="J173" s="33"/>
      <c r="K173" s="33"/>
      <c r="L173" s="33"/>
    </row>
    <row r="174" spans="1:54">
      <c r="A174" s="66"/>
      <c r="B174" s="66"/>
      <c r="C174" s="67"/>
      <c r="D174" s="66"/>
      <c r="E174" s="67"/>
      <c r="F174" s="68"/>
      <c r="G174" s="34"/>
      <c r="H174" s="34"/>
      <c r="I174" s="34"/>
      <c r="J174" s="34"/>
      <c r="K174" s="34"/>
      <c r="L174" s="34"/>
    </row>
    <row r="175" spans="1:54">
      <c r="A175" s="47"/>
      <c r="B175" s="48"/>
      <c r="C175" s="31"/>
      <c r="D175" s="30"/>
      <c r="E175" s="31"/>
      <c r="F175" s="32"/>
      <c r="G175" s="50"/>
      <c r="H175" s="39"/>
      <c r="I175" s="39"/>
      <c r="J175" s="39"/>
      <c r="K175" s="50"/>
      <c r="L175" s="50"/>
    </row>
    <row r="176" spans="1:54">
      <c r="A176" s="35"/>
      <c r="B176" s="37"/>
      <c r="C176" s="48"/>
      <c r="D176" s="47"/>
      <c r="E176" s="48"/>
      <c r="F176" s="49"/>
      <c r="G176" s="52"/>
      <c r="H176" s="39"/>
      <c r="I176" s="39"/>
      <c r="J176" s="39"/>
      <c r="K176" s="52"/>
      <c r="L176" s="52"/>
    </row>
    <row r="177" spans="1:54" s="149" customFormat="1">
      <c r="A177" s="145"/>
      <c r="B177" s="48"/>
      <c r="C177" s="48"/>
      <c r="D177" s="145"/>
      <c r="E177" s="48"/>
      <c r="F177" s="146"/>
      <c r="G177" s="50"/>
      <c r="H177" s="148"/>
      <c r="I177" s="148"/>
      <c r="J177" s="148"/>
      <c r="K177" s="147"/>
      <c r="L177" s="50"/>
    </row>
    <row r="178" spans="1:54">
      <c r="A178" s="40"/>
      <c r="B178" s="31"/>
      <c r="C178" s="40"/>
      <c r="D178" s="40"/>
      <c r="E178" s="42"/>
      <c r="F178" s="43"/>
      <c r="G178" s="33"/>
      <c r="H178" s="44"/>
      <c r="I178" s="44"/>
      <c r="J178" s="44"/>
      <c r="K178" s="33"/>
      <c r="L178" s="40"/>
    </row>
    <row r="179" spans="1:54" s="165" customFormat="1" ht="15" thickBot="1">
      <c r="A179" s="161"/>
      <c r="B179" s="161"/>
      <c r="C179" s="162"/>
      <c r="D179" s="161"/>
      <c r="E179" s="162"/>
      <c r="F179" s="163"/>
      <c r="G179" s="164"/>
      <c r="H179" s="164"/>
      <c r="I179" s="164"/>
      <c r="J179" s="164"/>
      <c r="K179" s="164"/>
      <c r="L179" s="164"/>
      <c r="M179" s="166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7"/>
      <c r="AL179" s="167"/>
      <c r="AM179" s="167"/>
      <c r="AN179" s="167"/>
      <c r="AO179" s="167"/>
      <c r="AP179" s="167"/>
      <c r="AQ179" s="167"/>
      <c r="AR179" s="167"/>
      <c r="AS179" s="167"/>
      <c r="AT179" s="167"/>
      <c r="AU179" s="167"/>
      <c r="AV179" s="167"/>
      <c r="AW179" s="167"/>
      <c r="AX179" s="167"/>
      <c r="AY179" s="167"/>
      <c r="AZ179" s="167"/>
      <c r="BA179" s="167"/>
      <c r="BB179" s="167"/>
    </row>
    <row r="180" spans="1:54">
      <c r="A180" s="103"/>
      <c r="B180" s="104"/>
      <c r="C180" s="105"/>
      <c r="D180" s="104"/>
      <c r="E180" s="105"/>
      <c r="F180" s="106"/>
      <c r="G180" s="107"/>
      <c r="H180" s="107"/>
      <c r="I180" s="107"/>
      <c r="J180" s="107"/>
      <c r="K180" s="107"/>
      <c r="L180" s="108"/>
    </row>
    <row r="181" spans="1:54" ht="15" thickBot="1">
      <c r="A181" s="109"/>
      <c r="B181" s="110"/>
      <c r="C181" s="111"/>
      <c r="D181" s="110"/>
      <c r="E181" s="111"/>
      <c r="F181" s="112"/>
      <c r="G181" s="113"/>
      <c r="H181" s="113"/>
      <c r="I181" s="113"/>
      <c r="J181" s="113"/>
      <c r="K181" s="113"/>
      <c r="L181" s="114"/>
    </row>
    <row r="182" spans="1:54">
      <c r="A182" s="47"/>
      <c r="B182" s="48" t="s">
        <v>41</v>
      </c>
      <c r="C182" s="48"/>
      <c r="D182" s="47"/>
      <c r="E182" s="48"/>
      <c r="F182" s="49"/>
      <c r="G182" s="50"/>
      <c r="H182" s="34"/>
      <c r="I182" s="34"/>
      <c r="J182" s="34"/>
      <c r="K182" s="50"/>
      <c r="L182" s="50"/>
    </row>
    <row r="183" spans="1:54">
      <c r="A183" s="47"/>
      <c r="B183" s="48" t="s">
        <v>41</v>
      </c>
      <c r="C183" s="48"/>
      <c r="D183" s="47"/>
      <c r="E183" s="48"/>
      <c r="F183" s="49"/>
      <c r="G183" s="50"/>
      <c r="H183" s="39"/>
      <c r="I183" s="39"/>
      <c r="J183" s="39"/>
      <c r="K183" s="50"/>
      <c r="L183" s="50"/>
    </row>
    <row r="184" spans="1:54">
      <c r="A184" s="35"/>
      <c r="B184" s="37" t="s">
        <v>41</v>
      </c>
      <c r="C184" s="37"/>
      <c r="D184" s="35"/>
      <c r="E184" s="37"/>
      <c r="F184" s="38"/>
      <c r="G184" s="52"/>
      <c r="H184" s="34"/>
      <c r="I184" s="34"/>
      <c r="J184" s="34"/>
      <c r="K184" s="52"/>
      <c r="L184" s="52"/>
    </row>
    <row r="185" spans="1:54">
      <c r="A185" s="47"/>
      <c r="B185" s="48" t="s">
        <v>41</v>
      </c>
      <c r="C185" s="48"/>
      <c r="D185" s="47"/>
      <c r="E185" s="48"/>
      <c r="F185" s="49"/>
      <c r="G185" s="50"/>
      <c r="H185" s="34"/>
      <c r="I185" s="34"/>
      <c r="J185" s="34"/>
      <c r="K185" s="50"/>
      <c r="L185" s="50"/>
    </row>
    <row r="186" spans="1:54">
      <c r="A186" s="47"/>
      <c r="B186" s="48" t="s">
        <v>41</v>
      </c>
      <c r="C186" s="48"/>
      <c r="D186" s="47"/>
      <c r="E186" s="48"/>
      <c r="F186" s="49"/>
      <c r="G186" s="50"/>
      <c r="H186" s="39"/>
      <c r="I186" s="39"/>
      <c r="J186" s="39"/>
      <c r="K186" s="50"/>
      <c r="L186" s="50"/>
    </row>
    <row r="187" spans="1:54">
      <c r="A187" s="47"/>
      <c r="B187" s="48" t="s">
        <v>41</v>
      </c>
      <c r="C187" s="48"/>
      <c r="D187" s="47"/>
      <c r="E187" s="48"/>
      <c r="F187" s="49"/>
      <c r="G187" s="50"/>
      <c r="H187" s="39"/>
      <c r="I187" s="39"/>
      <c r="J187" s="39"/>
      <c r="K187" s="50"/>
      <c r="L187" s="50"/>
    </row>
    <row r="188" spans="1:54">
      <c r="A188" s="30"/>
      <c r="B188" s="31" t="s">
        <v>41</v>
      </c>
      <c r="C188" s="31"/>
      <c r="D188" s="31"/>
      <c r="E188" s="31"/>
      <c r="F188" s="32"/>
      <c r="G188" s="33"/>
      <c r="H188" s="33"/>
      <c r="I188" s="33"/>
      <c r="J188" s="33"/>
      <c r="K188" s="33"/>
      <c r="L188" s="33"/>
    </row>
    <row r="189" spans="1:54">
      <c r="A189" s="35"/>
      <c r="B189" s="31" t="s">
        <v>41</v>
      </c>
      <c r="C189" s="37"/>
      <c r="D189" s="35"/>
      <c r="E189" s="37"/>
      <c r="F189" s="38"/>
      <c r="G189" s="33"/>
      <c r="H189" s="39"/>
      <c r="I189" s="39"/>
      <c r="J189" s="39"/>
      <c r="K189" s="33"/>
      <c r="L189" s="33"/>
    </row>
    <row r="190" spans="1:54">
      <c r="A190" s="47"/>
      <c r="B190" s="31" t="s">
        <v>41</v>
      </c>
      <c r="C190" s="48"/>
      <c r="D190" s="47"/>
      <c r="E190" s="48"/>
      <c r="F190" s="49"/>
      <c r="G190" s="33"/>
      <c r="H190" s="51"/>
      <c r="I190" s="51"/>
      <c r="J190" s="51"/>
      <c r="K190" s="33"/>
      <c r="L190" s="33"/>
    </row>
    <row r="191" spans="1:54">
      <c r="A191" s="40"/>
      <c r="B191" s="31" t="s">
        <v>41</v>
      </c>
      <c r="C191" s="42"/>
      <c r="D191" s="40"/>
      <c r="E191" s="42"/>
      <c r="F191" s="43"/>
      <c r="G191" s="33"/>
      <c r="H191" s="44"/>
      <c r="I191" s="44"/>
      <c r="J191" s="44"/>
      <c r="K191" s="33"/>
      <c r="L191" s="33"/>
    </row>
    <row r="192" spans="1:54">
      <c r="A192" s="40"/>
      <c r="B192" s="31" t="s">
        <v>41</v>
      </c>
      <c r="C192" s="42"/>
      <c r="D192" s="40"/>
      <c r="E192" s="42"/>
      <c r="F192" s="43"/>
      <c r="G192" s="33"/>
      <c r="H192" s="44"/>
      <c r="I192" s="44"/>
      <c r="J192" s="44"/>
      <c r="K192" s="33"/>
      <c r="L192" s="33"/>
    </row>
    <row r="193" spans="1:12">
      <c r="A193" s="40"/>
      <c r="B193" s="31" t="s">
        <v>41</v>
      </c>
      <c r="C193" s="42"/>
      <c r="D193" s="40"/>
      <c r="E193" s="42"/>
      <c r="F193" s="43"/>
      <c r="G193" s="33"/>
      <c r="H193" s="44"/>
      <c r="I193" s="44"/>
      <c r="J193" s="44"/>
      <c r="K193" s="33"/>
      <c r="L193" s="40"/>
    </row>
    <row r="194" spans="1:12" ht="15" thickBot="1">
      <c r="A194" s="40"/>
      <c r="B194" s="31" t="s">
        <v>41</v>
      </c>
      <c r="C194" s="42"/>
      <c r="D194" s="40"/>
      <c r="E194" s="42"/>
      <c r="F194" s="43"/>
      <c r="G194" s="33"/>
      <c r="H194" s="44"/>
      <c r="I194" s="44"/>
      <c r="J194" s="44"/>
      <c r="K194" s="33"/>
      <c r="L194" s="40"/>
    </row>
    <row r="195" spans="1:12">
      <c r="A195" s="103"/>
      <c r="B195" s="104" t="s">
        <v>41</v>
      </c>
      <c r="C195" s="105"/>
      <c r="D195" s="104"/>
      <c r="E195" s="105"/>
      <c r="F195" s="106"/>
      <c r="G195" s="107"/>
      <c r="H195" s="107"/>
      <c r="I195" s="107"/>
      <c r="J195" s="107"/>
      <c r="K195" s="107"/>
      <c r="L195" s="108"/>
    </row>
    <row r="196" spans="1:12" ht="15" thickBot="1">
      <c r="A196" s="109"/>
      <c r="B196" s="110" t="s">
        <v>41</v>
      </c>
      <c r="C196" s="111"/>
      <c r="D196" s="110"/>
      <c r="E196" s="111"/>
      <c r="F196" s="112"/>
      <c r="G196" s="113"/>
      <c r="H196" s="113"/>
      <c r="I196" s="113"/>
      <c r="J196" s="113"/>
      <c r="K196" s="113"/>
      <c r="L196" s="114"/>
    </row>
    <row r="197" spans="1:12">
      <c r="A197" s="66"/>
      <c r="B197" s="66" t="s">
        <v>41</v>
      </c>
      <c r="C197" s="67"/>
      <c r="D197" s="66"/>
      <c r="E197" s="67"/>
      <c r="F197" s="68"/>
      <c r="G197" s="34"/>
      <c r="H197" s="34"/>
      <c r="I197" s="34"/>
      <c r="J197" s="34"/>
      <c r="K197" s="34"/>
      <c r="L197" s="34"/>
    </row>
    <row r="198" spans="1:12">
      <c r="A198" s="40"/>
      <c r="B198" s="31" t="s">
        <v>41</v>
      </c>
      <c r="C198" s="40"/>
      <c r="D198" s="40"/>
      <c r="E198" s="42"/>
      <c r="F198" s="43"/>
      <c r="G198" s="33"/>
      <c r="H198" s="44"/>
      <c r="I198" s="44"/>
      <c r="J198" s="44"/>
      <c r="K198" s="33"/>
      <c r="L198" s="40"/>
    </row>
    <row r="199" spans="1:12">
      <c r="A199" s="30"/>
      <c r="B199" s="31" t="s">
        <v>41</v>
      </c>
      <c r="C199" s="31"/>
      <c r="D199" s="31"/>
      <c r="E199" s="31"/>
      <c r="F199" s="32"/>
      <c r="G199" s="33"/>
      <c r="H199" s="33"/>
      <c r="I199" s="33"/>
      <c r="J199" s="33"/>
      <c r="K199" s="33"/>
      <c r="L199" s="33"/>
    </row>
    <row r="200" spans="1:12">
      <c r="A200" s="30"/>
      <c r="B200" s="30" t="s">
        <v>41</v>
      </c>
      <c r="C200" s="31"/>
      <c r="D200" s="30"/>
      <c r="E200" s="31"/>
      <c r="F200" s="32"/>
      <c r="G200" s="33"/>
      <c r="H200" s="34"/>
      <c r="I200" s="34"/>
      <c r="J200" s="34"/>
      <c r="K200" s="33"/>
      <c r="L200" s="33"/>
    </row>
    <row r="201" spans="1:12">
      <c r="A201" s="30"/>
      <c r="B201" s="31" t="s">
        <v>41</v>
      </c>
      <c r="C201" s="31"/>
      <c r="D201" s="31"/>
      <c r="E201" s="31"/>
      <c r="F201" s="32"/>
      <c r="G201" s="33"/>
      <c r="H201" s="33"/>
      <c r="I201" s="33"/>
      <c r="J201" s="33"/>
      <c r="K201" s="33"/>
      <c r="L201" s="33"/>
    </row>
    <row r="202" spans="1:12">
      <c r="A202" s="30"/>
      <c r="B202" s="46" t="s">
        <v>41</v>
      </c>
      <c r="C202" s="31"/>
      <c r="D202" s="30"/>
      <c r="E202" s="31"/>
      <c r="F202" s="32"/>
      <c r="G202" s="33"/>
      <c r="H202" s="34"/>
      <c r="I202" s="34"/>
      <c r="J202" s="34"/>
      <c r="K202" s="33"/>
      <c r="L202" s="33"/>
    </row>
    <row r="203" spans="1:12">
      <c r="A203" s="40"/>
      <c r="B203" s="31" t="s">
        <v>41</v>
      </c>
      <c r="C203" s="40"/>
      <c r="D203" s="40"/>
      <c r="E203" s="42"/>
      <c r="F203" s="43"/>
      <c r="G203" s="33"/>
      <c r="H203" s="44"/>
      <c r="I203" s="44"/>
      <c r="J203" s="44"/>
      <c r="K203" s="33"/>
      <c r="L203" s="40"/>
    </row>
    <row r="204" spans="1:12">
      <c r="A204" s="47"/>
      <c r="B204" s="48" t="s">
        <v>41</v>
      </c>
      <c r="C204" s="48"/>
      <c r="D204" s="47"/>
      <c r="E204" s="48"/>
      <c r="F204" s="49"/>
      <c r="G204" s="50"/>
      <c r="H204" s="39"/>
      <c r="I204" s="39"/>
      <c r="J204" s="39"/>
      <c r="K204" s="50"/>
      <c r="L204" s="50"/>
    </row>
    <row r="205" spans="1:12">
      <c r="A205" s="40"/>
      <c r="B205" s="31" t="s">
        <v>41</v>
      </c>
      <c r="C205" s="42"/>
      <c r="D205" s="40"/>
      <c r="E205" s="42"/>
      <c r="F205" s="43"/>
      <c r="G205" s="33"/>
      <c r="H205" s="44"/>
      <c r="I205" s="44"/>
      <c r="J205" s="44"/>
      <c r="K205" s="33"/>
      <c r="L205" s="40"/>
    </row>
    <row r="206" spans="1:12">
      <c r="A206" s="35"/>
      <c r="B206" s="31" t="s">
        <v>41</v>
      </c>
      <c r="C206" s="37"/>
      <c r="D206" s="35"/>
      <c r="E206" s="37"/>
      <c r="F206" s="38"/>
      <c r="G206" s="33"/>
      <c r="H206" s="39"/>
      <c r="I206" s="39"/>
      <c r="J206" s="39"/>
      <c r="K206" s="33"/>
      <c r="L206" s="33"/>
    </row>
    <row r="207" spans="1:12">
      <c r="A207" s="47"/>
      <c r="B207" s="31" t="s">
        <v>41</v>
      </c>
      <c r="C207" s="48"/>
      <c r="D207" s="47"/>
      <c r="E207" s="48"/>
      <c r="F207" s="49"/>
      <c r="G207" s="33"/>
      <c r="H207" s="51"/>
      <c r="I207" s="51"/>
      <c r="J207" s="51"/>
      <c r="K207" s="33"/>
      <c r="L207" s="33"/>
    </row>
    <row r="208" spans="1:12">
      <c r="A208" s="40"/>
      <c r="B208" s="128" t="s">
        <v>41</v>
      </c>
      <c r="C208" s="48"/>
      <c r="D208" s="48"/>
      <c r="E208" s="48"/>
      <c r="F208" s="130"/>
      <c r="G208" s="129"/>
      <c r="H208" s="44"/>
      <c r="I208" s="44"/>
      <c r="J208" s="44"/>
      <c r="K208" s="33"/>
      <c r="L208" s="33"/>
    </row>
    <row r="209" spans="1:12">
      <c r="A209" s="35"/>
      <c r="B209" s="31" t="s">
        <v>41</v>
      </c>
      <c r="C209" s="42"/>
      <c r="D209" s="40"/>
      <c r="E209" s="42"/>
      <c r="F209" s="43"/>
      <c r="G209" s="33"/>
      <c r="H209" s="39"/>
      <c r="I209" s="39"/>
      <c r="J209" s="39"/>
      <c r="K209" s="33"/>
      <c r="L209" s="33"/>
    </row>
    <row r="210" spans="1:12">
      <c r="A210" s="40"/>
      <c r="B210" s="31" t="s">
        <v>41</v>
      </c>
      <c r="C210" s="42"/>
      <c r="D210" s="40"/>
      <c r="E210" s="42"/>
      <c r="F210" s="43"/>
      <c r="G210" s="33"/>
      <c r="H210" s="44"/>
      <c r="I210" s="44"/>
      <c r="J210" s="44"/>
      <c r="K210" s="33"/>
      <c r="L210" s="33"/>
    </row>
    <row r="211" spans="1:12" ht="13.5" customHeight="1">
      <c r="A211" s="35"/>
      <c r="B211" s="31" t="s">
        <v>41</v>
      </c>
      <c r="C211" s="42"/>
      <c r="D211" s="40"/>
      <c r="E211" s="42"/>
      <c r="F211" s="43"/>
      <c r="G211" s="33"/>
      <c r="H211" s="39"/>
      <c r="I211" s="39"/>
      <c r="J211" s="39"/>
      <c r="K211" s="33"/>
      <c r="L211" s="33"/>
    </row>
    <row r="212" spans="1:12" ht="13.5" customHeight="1">
      <c r="A212" s="35"/>
      <c r="B212" s="31" t="s">
        <v>41</v>
      </c>
      <c r="C212" s="42"/>
      <c r="D212" s="40"/>
      <c r="E212" s="42"/>
      <c r="F212" s="43"/>
      <c r="G212" s="33"/>
      <c r="H212" s="39"/>
      <c r="I212" s="39"/>
      <c r="J212" s="39"/>
      <c r="K212" s="33"/>
      <c r="L212" s="33"/>
    </row>
    <row r="213" spans="1:12" ht="13.5" customHeight="1">
      <c r="A213" s="47"/>
      <c r="B213" s="48"/>
      <c r="C213" s="48"/>
      <c r="D213" s="47"/>
      <c r="E213" s="48"/>
      <c r="F213" s="49"/>
      <c r="G213" s="50"/>
      <c r="H213" s="39"/>
      <c r="I213" s="39"/>
      <c r="J213" s="39"/>
      <c r="K213" s="50"/>
      <c r="L213" s="50"/>
    </row>
    <row r="214" spans="1:12">
      <c r="A214" s="47"/>
      <c r="B214" s="48"/>
      <c r="C214" s="48"/>
      <c r="D214" s="47"/>
      <c r="E214" s="48"/>
      <c r="F214" s="49"/>
      <c r="G214" s="50"/>
      <c r="H214" s="39"/>
      <c r="I214" s="39"/>
      <c r="J214" s="39"/>
      <c r="K214" s="50"/>
      <c r="L214" s="50"/>
    </row>
    <row r="215" spans="1:12">
      <c r="A215" s="47"/>
      <c r="B215" s="48"/>
      <c r="C215" s="48"/>
      <c r="D215" s="47"/>
      <c r="E215" s="48"/>
      <c r="F215" s="49"/>
      <c r="G215" s="50"/>
      <c r="H215" s="39"/>
      <c r="I215" s="39"/>
      <c r="J215" s="39"/>
      <c r="K215" s="50"/>
      <c r="L215" s="45"/>
    </row>
    <row r="216" spans="1:12">
      <c r="A216" s="30"/>
      <c r="B216" s="30"/>
      <c r="C216" s="31"/>
      <c r="D216" s="30"/>
      <c r="E216" s="31"/>
      <c r="F216" s="32"/>
      <c r="G216" s="33"/>
      <c r="H216" s="34"/>
      <c r="I216" s="34"/>
      <c r="J216" s="34"/>
      <c r="K216" s="33"/>
      <c r="L216" s="33"/>
    </row>
    <row r="217" spans="1:12">
      <c r="A217" s="35">
        <v>45854</v>
      </c>
      <c r="B217" s="36" t="s">
        <v>29</v>
      </c>
      <c r="C217" s="37" t="s">
        <v>30</v>
      </c>
      <c r="D217" s="35"/>
      <c r="E217" s="37"/>
      <c r="F217" s="38"/>
      <c r="G217" s="33"/>
      <c r="H217" s="39"/>
      <c r="I217" s="39"/>
      <c r="J217" s="39"/>
      <c r="K217" s="33"/>
      <c r="L217" s="33"/>
    </row>
    <row r="218" spans="1:12">
      <c r="A218" s="47">
        <v>45906</v>
      </c>
      <c r="B218" s="48" t="s">
        <v>41</v>
      </c>
      <c r="C218" s="37" t="s">
        <v>32</v>
      </c>
      <c r="D218" s="35" t="s">
        <v>119</v>
      </c>
      <c r="E218" s="37">
        <v>1</v>
      </c>
      <c r="F218" s="38" t="s">
        <v>36</v>
      </c>
      <c r="G218" s="50">
        <v>41000</v>
      </c>
      <c r="H218" s="39"/>
      <c r="I218" s="39"/>
      <c r="J218" s="39"/>
      <c r="K218" s="50">
        <v>41000</v>
      </c>
      <c r="L218" s="50"/>
    </row>
    <row r="219" spans="1:12">
      <c r="A219" s="35">
        <v>45907</v>
      </c>
      <c r="B219" s="152" t="s">
        <v>41</v>
      </c>
      <c r="C219" s="152" t="s">
        <v>30</v>
      </c>
      <c r="D219" s="153" t="s">
        <v>33</v>
      </c>
      <c r="E219" s="152">
        <v>400</v>
      </c>
      <c r="F219" s="154" t="s">
        <v>34</v>
      </c>
      <c r="G219" s="158">
        <v>62400</v>
      </c>
      <c r="H219" s="156"/>
      <c r="I219" s="39"/>
      <c r="J219" s="39"/>
      <c r="K219" s="33"/>
      <c r="L219" s="33"/>
    </row>
    <row r="220" spans="1:12">
      <c r="A220" s="150">
        <v>45907</v>
      </c>
      <c r="B220" s="48" t="s">
        <v>41</v>
      </c>
      <c r="C220" s="151" t="s">
        <v>31</v>
      </c>
      <c r="D220" s="47" t="s">
        <v>33</v>
      </c>
      <c r="E220" s="48">
        <v>400</v>
      </c>
      <c r="F220" s="155" t="s">
        <v>115</v>
      </c>
      <c r="G220" s="159">
        <v>143200</v>
      </c>
      <c r="H220" s="157"/>
      <c r="I220" s="51"/>
      <c r="J220" s="51"/>
      <c r="K220" s="33"/>
      <c r="L220" s="33"/>
    </row>
    <row r="221" spans="1:12">
      <c r="A221" s="47">
        <v>45907</v>
      </c>
      <c r="B221" s="48" t="s">
        <v>41</v>
      </c>
      <c r="C221" s="48" t="s">
        <v>32</v>
      </c>
      <c r="D221" s="47" t="s">
        <v>33</v>
      </c>
      <c r="E221" s="48">
        <v>2</v>
      </c>
      <c r="F221" s="155" t="s">
        <v>48</v>
      </c>
      <c r="G221" s="160">
        <v>51000</v>
      </c>
      <c r="H221" s="156"/>
      <c r="I221" s="39"/>
      <c r="J221" s="39"/>
      <c r="K221" s="50">
        <f>SUM(G219:G221)</f>
        <v>256600</v>
      </c>
      <c r="L221" s="50"/>
    </row>
    <row r="222" spans="1:12">
      <c r="A222" s="30">
        <v>45910</v>
      </c>
      <c r="B222" s="31" t="s">
        <v>41</v>
      </c>
      <c r="C222" s="31" t="s">
        <v>127</v>
      </c>
      <c r="D222" s="30" t="s">
        <v>121</v>
      </c>
      <c r="E222" s="31">
        <v>1</v>
      </c>
      <c r="F222" s="32" t="s">
        <v>128</v>
      </c>
      <c r="G222" s="45">
        <f>12000+10000</f>
        <v>22000</v>
      </c>
      <c r="H222" s="51"/>
      <c r="I222" s="51"/>
      <c r="J222" s="51"/>
      <c r="K222" s="33">
        <f>G222</f>
        <v>22000</v>
      </c>
      <c r="L222" s="33"/>
    </row>
    <row r="223" spans="1:12">
      <c r="A223" s="30">
        <v>45911</v>
      </c>
      <c r="B223" s="30" t="s">
        <v>41</v>
      </c>
      <c r="C223" s="31" t="s">
        <v>46</v>
      </c>
      <c r="D223" s="30" t="s">
        <v>44</v>
      </c>
      <c r="E223" s="31">
        <v>1</v>
      </c>
      <c r="F223" s="32" t="s">
        <v>129</v>
      </c>
      <c r="G223" s="33">
        <v>14384</v>
      </c>
      <c r="H223" s="34"/>
      <c r="I223" s="34"/>
      <c r="J223" s="34"/>
      <c r="K223" s="33"/>
      <c r="L223" s="33">
        <f>G223</f>
        <v>14384</v>
      </c>
    </row>
    <row r="224" spans="1:12">
      <c r="A224" s="30">
        <v>45911</v>
      </c>
      <c r="B224" s="31" t="s">
        <v>41</v>
      </c>
      <c r="C224" s="31" t="s">
        <v>46</v>
      </c>
      <c r="D224" s="31" t="s">
        <v>56</v>
      </c>
      <c r="E224" s="31">
        <v>1</v>
      </c>
      <c r="F224" s="32" t="s">
        <v>130</v>
      </c>
      <c r="G224" s="33">
        <v>11677.6</v>
      </c>
      <c r="H224" s="33"/>
      <c r="I224" s="33"/>
      <c r="J224" s="33"/>
      <c r="K224" s="33"/>
      <c r="L224" s="33">
        <f>G224</f>
        <v>11677.6</v>
      </c>
    </row>
    <row r="225" spans="1:12">
      <c r="A225" s="47">
        <v>45912</v>
      </c>
      <c r="B225" s="48" t="s">
        <v>41</v>
      </c>
      <c r="C225" s="31" t="s">
        <v>32</v>
      </c>
      <c r="D225" s="30" t="s">
        <v>47</v>
      </c>
      <c r="E225" s="31">
        <v>2</v>
      </c>
      <c r="F225" s="32" t="s">
        <v>48</v>
      </c>
      <c r="G225" s="50">
        <v>51000</v>
      </c>
      <c r="H225" s="39"/>
      <c r="I225" s="39"/>
      <c r="J225" s="39"/>
      <c r="K225" s="50">
        <f>SUM(G225)</f>
        <v>51000</v>
      </c>
      <c r="L225" s="50"/>
    </row>
    <row r="226" spans="1:12">
      <c r="A226" s="35">
        <v>45907</v>
      </c>
      <c r="B226" s="37" t="s">
        <v>41</v>
      </c>
      <c r="C226" s="48" t="s">
        <v>30</v>
      </c>
      <c r="D226" s="47" t="s">
        <v>33</v>
      </c>
      <c r="E226" s="48">
        <v>400</v>
      </c>
      <c r="F226" s="49" t="s">
        <v>34</v>
      </c>
      <c r="G226" s="52">
        <v>62400</v>
      </c>
      <c r="H226" s="39"/>
      <c r="I226" s="39"/>
      <c r="J226" s="39"/>
      <c r="K226" s="52"/>
      <c r="L226" s="52"/>
    </row>
    <row r="227" spans="1:12" s="149" customFormat="1">
      <c r="A227" s="145">
        <v>45907</v>
      </c>
      <c r="B227" s="48" t="s">
        <v>41</v>
      </c>
      <c r="C227" s="48" t="s">
        <v>31</v>
      </c>
      <c r="D227" s="145" t="s">
        <v>33</v>
      </c>
      <c r="E227" s="48">
        <v>400</v>
      </c>
      <c r="F227" s="146" t="s">
        <v>115</v>
      </c>
      <c r="G227" s="50">
        <v>143200</v>
      </c>
      <c r="H227" s="148"/>
      <c r="I227" s="148"/>
      <c r="J227" s="148"/>
      <c r="K227" s="147"/>
      <c r="L227" s="50"/>
    </row>
    <row r="228" spans="1:12">
      <c r="A228" s="47">
        <v>45907</v>
      </c>
      <c r="B228" s="42" t="s">
        <v>41</v>
      </c>
      <c r="C228" s="48" t="s">
        <v>31</v>
      </c>
      <c r="D228" s="47" t="s">
        <v>33</v>
      </c>
      <c r="E228" s="48">
        <v>400</v>
      </c>
      <c r="F228" s="49" t="s">
        <v>131</v>
      </c>
      <c r="G228" s="45">
        <v>143200</v>
      </c>
      <c r="H228" s="51"/>
      <c r="I228" s="51"/>
      <c r="J228" s="51"/>
      <c r="K228" s="45">
        <f>G226+G227+G228</f>
        <v>348800</v>
      </c>
      <c r="L228" s="45"/>
    </row>
    <row r="229" spans="1:12">
      <c r="A229" s="30">
        <v>45913</v>
      </c>
      <c r="B229" s="42" t="s">
        <v>41</v>
      </c>
      <c r="C229" s="31" t="s">
        <v>38</v>
      </c>
      <c r="D229" s="30" t="s">
        <v>132</v>
      </c>
      <c r="E229" s="31">
        <v>5</v>
      </c>
      <c r="F229" s="32" t="s">
        <v>133</v>
      </c>
      <c r="G229" s="33">
        <f>10000*5</f>
        <v>50000</v>
      </c>
      <c r="H229" s="34"/>
      <c r="I229" s="34"/>
      <c r="J229" s="34"/>
      <c r="K229" s="33">
        <v>0</v>
      </c>
      <c r="L229" s="33">
        <f>G229</f>
        <v>50000</v>
      </c>
    </row>
    <row r="230" spans="1:12">
      <c r="A230" s="30">
        <v>45915</v>
      </c>
      <c r="B230" s="42" t="s">
        <v>41</v>
      </c>
      <c r="C230" s="31" t="s">
        <v>135</v>
      </c>
      <c r="D230" s="30" t="s">
        <v>134</v>
      </c>
      <c r="E230" s="31">
        <v>1</v>
      </c>
      <c r="F230" s="32" t="s">
        <v>136</v>
      </c>
      <c r="G230" s="33">
        <v>12750</v>
      </c>
      <c r="H230" s="34"/>
      <c r="I230" s="34"/>
      <c r="J230" s="34"/>
      <c r="K230" s="33">
        <v>0</v>
      </c>
      <c r="L230" s="33">
        <f>G230</f>
        <v>12750</v>
      </c>
    </row>
    <row r="231" spans="1:12">
      <c r="A231" s="47">
        <v>45916</v>
      </c>
      <c r="B231" s="48" t="s">
        <v>41</v>
      </c>
      <c r="C231" s="48" t="s">
        <v>32</v>
      </c>
      <c r="D231" s="47" t="s">
        <v>119</v>
      </c>
      <c r="E231" s="48">
        <v>2</v>
      </c>
      <c r="F231" s="49" t="s">
        <v>137</v>
      </c>
      <c r="G231" s="50">
        <v>84523</v>
      </c>
      <c r="H231" s="39"/>
      <c r="I231" s="39"/>
      <c r="J231" s="39"/>
      <c r="K231" s="50">
        <f>G231</f>
        <v>84523</v>
      </c>
      <c r="L231" s="50"/>
    </row>
    <row r="232" spans="1:12">
      <c r="A232" s="47">
        <v>45916</v>
      </c>
      <c r="B232" s="48" t="s">
        <v>41</v>
      </c>
      <c r="C232" s="48" t="s">
        <v>32</v>
      </c>
      <c r="D232" s="47" t="s">
        <v>119</v>
      </c>
      <c r="E232" s="48">
        <v>4</v>
      </c>
      <c r="F232" s="49" t="s">
        <v>145</v>
      </c>
      <c r="G232" s="50">
        <v>169046</v>
      </c>
      <c r="H232" s="39"/>
      <c r="I232" s="39"/>
      <c r="J232" s="39"/>
      <c r="K232" s="50"/>
      <c r="L232" s="50">
        <f>G232</f>
        <v>169046</v>
      </c>
    </row>
    <row r="233" spans="1:12">
      <c r="A233" s="47">
        <v>45916</v>
      </c>
      <c r="B233" s="48" t="s">
        <v>41</v>
      </c>
      <c r="C233" s="31" t="s">
        <v>32</v>
      </c>
      <c r="D233" s="30" t="s">
        <v>47</v>
      </c>
      <c r="E233" s="31">
        <v>6</v>
      </c>
      <c r="F233" s="32" t="s">
        <v>138</v>
      </c>
      <c r="G233" s="50">
        <f>25000*6</f>
        <v>150000</v>
      </c>
      <c r="H233" s="39"/>
      <c r="I233" s="39"/>
      <c r="J233" s="39"/>
      <c r="K233" s="50">
        <f>SUM(G233)</f>
        <v>150000</v>
      </c>
      <c r="L233" s="50"/>
    </row>
    <row r="234" spans="1:12">
      <c r="A234" s="30">
        <v>45916</v>
      </c>
      <c r="B234" s="42" t="s">
        <v>41</v>
      </c>
      <c r="C234" s="31" t="s">
        <v>135</v>
      </c>
      <c r="D234" s="30" t="s">
        <v>139</v>
      </c>
      <c r="E234" s="31">
        <v>1</v>
      </c>
      <c r="F234" s="32" t="s">
        <v>140</v>
      </c>
      <c r="G234" s="33">
        <v>1500</v>
      </c>
      <c r="H234" s="34"/>
      <c r="I234" s="34"/>
      <c r="J234" s="34"/>
      <c r="K234" s="33">
        <f>G234</f>
        <v>1500</v>
      </c>
      <c r="L234" s="33"/>
    </row>
    <row r="235" spans="1:12">
      <c r="A235" s="40">
        <v>45917</v>
      </c>
      <c r="B235" s="31" t="s">
        <v>41</v>
      </c>
      <c r="C235" s="42" t="s">
        <v>65</v>
      </c>
      <c r="D235" s="40" t="s">
        <v>141</v>
      </c>
      <c r="E235" s="42">
        <v>600</v>
      </c>
      <c r="F235" s="43" t="s">
        <v>142</v>
      </c>
      <c r="G235" s="33">
        <v>13800</v>
      </c>
      <c r="H235" s="44"/>
      <c r="I235" s="44"/>
      <c r="J235" s="44"/>
      <c r="K235" s="33"/>
      <c r="L235" s="50">
        <v>13800</v>
      </c>
    </row>
    <row r="236" spans="1:12">
      <c r="A236" s="30">
        <v>45918</v>
      </c>
      <c r="B236" s="30" t="s">
        <v>41</v>
      </c>
      <c r="C236" s="31" t="s">
        <v>26</v>
      </c>
      <c r="D236" s="30" t="s">
        <v>42</v>
      </c>
      <c r="E236" s="31">
        <v>1</v>
      </c>
      <c r="F236" s="32" t="s">
        <v>143</v>
      </c>
      <c r="G236" s="33">
        <v>10000</v>
      </c>
      <c r="H236" s="34"/>
      <c r="I236" s="34"/>
      <c r="J236" s="34"/>
      <c r="K236" s="33"/>
      <c r="L236" s="33">
        <f>G236</f>
        <v>10000</v>
      </c>
    </row>
    <row r="237" spans="1:12">
      <c r="A237" s="30">
        <v>45918</v>
      </c>
      <c r="B237" s="46" t="s">
        <v>41</v>
      </c>
      <c r="C237" s="31" t="s">
        <v>38</v>
      </c>
      <c r="D237" s="30" t="s">
        <v>84</v>
      </c>
      <c r="E237" s="31">
        <v>10</v>
      </c>
      <c r="F237" s="32" t="s">
        <v>144</v>
      </c>
      <c r="G237" s="33">
        <f>8000*10</f>
        <v>80000</v>
      </c>
      <c r="H237" s="34"/>
      <c r="I237" s="34"/>
      <c r="J237" s="34"/>
      <c r="K237" s="33">
        <f>G237</f>
        <v>80000</v>
      </c>
      <c r="L237" s="33"/>
    </row>
    <row r="238" spans="1:12">
      <c r="A238" s="35">
        <v>45919</v>
      </c>
      <c r="B238" s="37" t="s">
        <v>41</v>
      </c>
      <c r="C238" s="48" t="s">
        <v>30</v>
      </c>
      <c r="D238" s="47" t="s">
        <v>33</v>
      </c>
      <c r="E238" s="48">
        <v>600</v>
      </c>
      <c r="F238" s="49" t="s">
        <v>34</v>
      </c>
      <c r="G238" s="52">
        <f>62400+31200</f>
        <v>93600</v>
      </c>
      <c r="H238" s="39"/>
      <c r="I238" s="39"/>
      <c r="J238" s="39"/>
      <c r="K238" s="52"/>
      <c r="L238" s="52"/>
    </row>
    <row r="239" spans="1:12" s="149" customFormat="1">
      <c r="A239" s="145">
        <v>45919</v>
      </c>
      <c r="B239" s="48" t="s">
        <v>41</v>
      </c>
      <c r="C239" s="48" t="s">
        <v>31</v>
      </c>
      <c r="D239" s="145" t="s">
        <v>33</v>
      </c>
      <c r="E239" s="48">
        <v>400</v>
      </c>
      <c r="F239" s="146" t="s">
        <v>115</v>
      </c>
      <c r="G239" s="50">
        <v>143200</v>
      </c>
      <c r="H239" s="148"/>
      <c r="I239" s="148"/>
      <c r="J239" s="148"/>
      <c r="K239" s="147"/>
      <c r="L239" s="50">
        <f>G238+G239</f>
        <v>236800</v>
      </c>
    </row>
    <row r="240" spans="1:12">
      <c r="A240" s="47">
        <v>45918</v>
      </c>
      <c r="B240" s="48" t="s">
        <v>41</v>
      </c>
      <c r="C240" s="48" t="s">
        <v>32</v>
      </c>
      <c r="D240" s="47" t="s">
        <v>119</v>
      </c>
      <c r="E240" s="48">
        <v>3</v>
      </c>
      <c r="F240" s="49" t="s">
        <v>146</v>
      </c>
      <c r="G240" s="50">
        <f>42261.5*3</f>
        <v>126784.5</v>
      </c>
      <c r="H240" s="39"/>
      <c r="I240" s="39"/>
      <c r="J240" s="39"/>
      <c r="K240" s="50">
        <f>G240</f>
        <v>126784.5</v>
      </c>
      <c r="L240" s="50">
        <v>0</v>
      </c>
    </row>
    <row r="241" spans="1:54" s="165" customFormat="1">
      <c r="A241" s="161">
        <v>45919</v>
      </c>
      <c r="B241" s="161" t="s">
        <v>41</v>
      </c>
      <c r="C241" s="162" t="s">
        <v>147</v>
      </c>
      <c r="D241" s="161" t="s">
        <v>147</v>
      </c>
      <c r="E241" s="162">
        <v>1</v>
      </c>
      <c r="F241" s="163" t="s">
        <v>148</v>
      </c>
      <c r="G241" s="164">
        <f>8925.94+415.87+2079.59</f>
        <v>11421.400000000001</v>
      </c>
      <c r="H241" s="164"/>
      <c r="I241" s="164"/>
      <c r="J241" s="164"/>
      <c r="K241" s="164">
        <v>0</v>
      </c>
      <c r="L241" s="164"/>
      <c r="M241" s="166">
        <f>G241</f>
        <v>11421.400000000001</v>
      </c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  <c r="AP241" s="167"/>
      <c r="AQ241" s="167"/>
      <c r="AR241" s="167"/>
      <c r="AS241" s="167"/>
      <c r="AT241" s="167"/>
      <c r="AU241" s="167"/>
      <c r="AV241" s="167"/>
      <c r="AW241" s="167"/>
      <c r="AX241" s="167"/>
      <c r="AY241" s="167"/>
      <c r="AZ241" s="167"/>
      <c r="BA241" s="167"/>
      <c r="BB241" s="167"/>
    </row>
    <row r="242" spans="1:54">
      <c r="A242" s="30">
        <v>45922</v>
      </c>
      <c r="B242" s="31" t="s">
        <v>41</v>
      </c>
      <c r="C242" s="31" t="s">
        <v>58</v>
      </c>
      <c r="D242" s="31" t="s">
        <v>59</v>
      </c>
      <c r="E242" s="31"/>
      <c r="F242" s="32" t="s">
        <v>150</v>
      </c>
      <c r="G242" s="33">
        <v>16000</v>
      </c>
      <c r="H242" s="33"/>
      <c r="I242" s="33"/>
      <c r="J242" s="33"/>
      <c r="K242" s="33"/>
      <c r="L242" s="33">
        <f>G242</f>
        <v>16000</v>
      </c>
    </row>
    <row r="243" spans="1:54">
      <c r="A243" s="66">
        <v>45922</v>
      </c>
      <c r="B243" s="66" t="s">
        <v>41</v>
      </c>
      <c r="C243" s="67" t="s">
        <v>62</v>
      </c>
      <c r="D243" s="66" t="s">
        <v>105</v>
      </c>
      <c r="E243" s="67"/>
      <c r="F243" s="68" t="s">
        <v>64</v>
      </c>
      <c r="G243" s="34">
        <v>7000</v>
      </c>
      <c r="H243" s="34"/>
      <c r="I243" s="34"/>
      <c r="J243" s="34"/>
      <c r="K243" s="34">
        <v>7000</v>
      </c>
      <c r="L243" s="34"/>
    </row>
    <row r="244" spans="1:54">
      <c r="A244" s="47">
        <v>45924</v>
      </c>
      <c r="B244" s="48" t="s">
        <v>41</v>
      </c>
      <c r="C244" s="31" t="s">
        <v>32</v>
      </c>
      <c r="D244" s="30" t="s">
        <v>47</v>
      </c>
      <c r="E244" s="31">
        <v>4</v>
      </c>
      <c r="F244" s="32" t="s">
        <v>151</v>
      </c>
      <c r="G244" s="50">
        <f>25000*4</f>
        <v>100000</v>
      </c>
      <c r="H244" s="39"/>
      <c r="I244" s="39"/>
      <c r="J244" s="39"/>
      <c r="K244" s="50">
        <f>SUM(G244)</f>
        <v>100000</v>
      </c>
      <c r="L244" s="50"/>
    </row>
    <row r="245" spans="1:54">
      <c r="A245" s="35">
        <v>45926</v>
      </c>
      <c r="B245" s="37" t="s">
        <v>41</v>
      </c>
      <c r="C245" s="48" t="s">
        <v>30</v>
      </c>
      <c r="D245" s="47" t="s">
        <v>33</v>
      </c>
      <c r="E245" s="48">
        <v>1200</v>
      </c>
      <c r="F245" s="49" t="s">
        <v>152</v>
      </c>
      <c r="G245" s="52">
        <f>62400*3</f>
        <v>187200</v>
      </c>
      <c r="H245" s="39"/>
      <c r="I245" s="39"/>
      <c r="J245" s="39"/>
      <c r="K245" s="52"/>
      <c r="L245" s="52"/>
    </row>
    <row r="246" spans="1:54" s="149" customFormat="1">
      <c r="A246" s="145">
        <v>45926</v>
      </c>
      <c r="B246" s="48" t="s">
        <v>41</v>
      </c>
      <c r="C246" s="48" t="s">
        <v>31</v>
      </c>
      <c r="D246" s="145" t="s">
        <v>33</v>
      </c>
      <c r="E246" s="48">
        <v>2000</v>
      </c>
      <c r="F246" s="146" t="s">
        <v>153</v>
      </c>
      <c r="G246" s="50">
        <f>143200*5</f>
        <v>716000</v>
      </c>
      <c r="H246" s="148"/>
      <c r="I246" s="148"/>
      <c r="J246" s="148"/>
      <c r="K246" s="147">
        <f>G245+G246-25000-62400</f>
        <v>815800</v>
      </c>
      <c r="L246" s="50"/>
    </row>
    <row r="247" spans="1:54">
      <c r="A247" s="40">
        <v>45929</v>
      </c>
      <c r="B247" s="31" t="s">
        <v>41</v>
      </c>
      <c r="C247" s="40" t="s">
        <v>106</v>
      </c>
      <c r="D247" s="40" t="s">
        <v>106</v>
      </c>
      <c r="E247" s="42">
        <v>2</v>
      </c>
      <c r="F247" s="43" t="s">
        <v>154</v>
      </c>
      <c r="G247" s="33">
        <f>30000*2</f>
        <v>60000</v>
      </c>
      <c r="H247" s="44"/>
      <c r="I247" s="44"/>
      <c r="J247" s="44"/>
      <c r="K247" s="33">
        <f>G247</f>
        <v>60000</v>
      </c>
      <c r="L247" s="40"/>
    </row>
    <row r="248" spans="1:54" s="165" customFormat="1" ht="15" thickBot="1">
      <c r="A248" s="161">
        <v>45930</v>
      </c>
      <c r="B248" s="161" t="s">
        <v>41</v>
      </c>
      <c r="C248" s="162" t="s">
        <v>147</v>
      </c>
      <c r="D248" s="161" t="s">
        <v>147</v>
      </c>
      <c r="E248" s="162">
        <v>1</v>
      </c>
      <c r="F248" s="163" t="s">
        <v>155</v>
      </c>
      <c r="G248" s="164">
        <f>20677+4894.54+7415.75+15750</f>
        <v>48737.29</v>
      </c>
      <c r="H248" s="164"/>
      <c r="I248" s="164"/>
      <c r="J248" s="164"/>
      <c r="K248" s="164">
        <v>0</v>
      </c>
      <c r="L248" s="164"/>
      <c r="M248" s="166">
        <f>G248</f>
        <v>48737.29</v>
      </c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67"/>
      <c r="AU248" s="167"/>
      <c r="AV248" s="167"/>
      <c r="AW248" s="167"/>
      <c r="AX248" s="167"/>
      <c r="AY248" s="167"/>
      <c r="AZ248" s="167"/>
      <c r="BA248" s="167"/>
      <c r="BB248" s="167"/>
    </row>
    <row r="249" spans="1:54">
      <c r="A249" s="103">
        <v>45930</v>
      </c>
      <c r="B249" s="104" t="s">
        <v>41</v>
      </c>
      <c r="C249" s="105" t="s">
        <v>88</v>
      </c>
      <c r="D249" s="104" t="s">
        <v>89</v>
      </c>
      <c r="E249" s="105"/>
      <c r="F249" s="106" t="s">
        <v>156</v>
      </c>
      <c r="G249" s="107">
        <v>1300000</v>
      </c>
      <c r="H249" s="107"/>
      <c r="I249" s="107"/>
      <c r="J249" s="107"/>
      <c r="K249" s="107">
        <v>800000</v>
      </c>
      <c r="L249" s="108">
        <v>500000</v>
      </c>
    </row>
    <row r="250" spans="1:54" ht="15" thickBot="1">
      <c r="A250" s="109">
        <v>45930</v>
      </c>
      <c r="B250" s="110" t="s">
        <v>41</v>
      </c>
      <c r="C250" s="111" t="s">
        <v>88</v>
      </c>
      <c r="D250" s="110" t="s">
        <v>91</v>
      </c>
      <c r="E250" s="111"/>
      <c r="F250" s="112" t="s">
        <v>157</v>
      </c>
      <c r="G250" s="113">
        <v>1300000</v>
      </c>
      <c r="H250" s="113"/>
      <c r="I250" s="113"/>
      <c r="J250" s="113"/>
      <c r="K250" s="113">
        <v>400000</v>
      </c>
      <c r="L250" s="114">
        <v>900000</v>
      </c>
    </row>
    <row r="251" spans="1:54">
      <c r="A251" s="47">
        <v>45854</v>
      </c>
      <c r="B251" s="53" t="s">
        <v>29</v>
      </c>
      <c r="C251" s="48" t="s">
        <v>31</v>
      </c>
      <c r="D251" s="47"/>
      <c r="E251" s="48"/>
      <c r="F251" s="49"/>
      <c r="G251" s="33"/>
      <c r="H251" s="51"/>
      <c r="I251" s="51"/>
      <c r="J251" s="51"/>
      <c r="K251" s="33"/>
      <c r="L251" s="33"/>
    </row>
    <row r="252" spans="1:54">
      <c r="A252" s="40">
        <v>45854</v>
      </c>
      <c r="B252" s="41" t="s">
        <v>29</v>
      </c>
      <c r="C252" s="42" t="s">
        <v>32</v>
      </c>
      <c r="D252" s="40"/>
      <c r="E252" s="42"/>
      <c r="F252" s="43"/>
      <c r="G252" s="33"/>
      <c r="H252" s="44"/>
      <c r="I252" s="44"/>
      <c r="J252" s="44"/>
      <c r="K252" s="33"/>
      <c r="L252" s="33"/>
    </row>
    <row r="253" spans="1:54">
      <c r="A253" s="30">
        <v>45853</v>
      </c>
      <c r="B253" s="46" t="s">
        <v>29</v>
      </c>
      <c r="C253" s="31" t="s">
        <v>38</v>
      </c>
      <c r="D253" s="30"/>
      <c r="E253" s="31"/>
      <c r="F253" s="32"/>
      <c r="G253" s="33"/>
      <c r="H253" s="34"/>
      <c r="I253" s="34"/>
      <c r="J253" s="34"/>
      <c r="K253" s="33"/>
      <c r="L253" s="33"/>
    </row>
    <row r="254" spans="1:54">
      <c r="A254" s="30">
        <v>45855</v>
      </c>
      <c r="B254" s="30" t="s">
        <v>41</v>
      </c>
      <c r="C254" s="31" t="s">
        <v>26</v>
      </c>
      <c r="D254" s="30"/>
      <c r="E254" s="31"/>
      <c r="F254" s="32"/>
      <c r="G254" s="33"/>
      <c r="H254" s="34"/>
      <c r="I254" s="34"/>
      <c r="J254" s="34"/>
      <c r="K254" s="33"/>
      <c r="L254" s="33"/>
    </row>
    <row r="255" spans="1:54">
      <c r="A255" s="30">
        <v>45855</v>
      </c>
      <c r="B255" s="30" t="s">
        <v>41</v>
      </c>
      <c r="C255" s="31" t="s">
        <v>46</v>
      </c>
      <c r="D255" s="30"/>
      <c r="E255" s="31"/>
      <c r="F255" s="32"/>
      <c r="G255" s="33"/>
      <c r="H255" s="34"/>
      <c r="I255" s="34"/>
      <c r="J255" s="34"/>
      <c r="K255" s="33"/>
      <c r="L255" s="33"/>
    </row>
    <row r="256" spans="1:54">
      <c r="A256" s="30">
        <v>45856</v>
      </c>
      <c r="B256" s="30" t="s">
        <v>41</v>
      </c>
      <c r="C256" s="31" t="s">
        <v>32</v>
      </c>
      <c r="D256" s="30"/>
      <c r="E256" s="31"/>
      <c r="F256" s="32"/>
      <c r="G256" s="33"/>
      <c r="H256" s="34"/>
      <c r="I256" s="34"/>
      <c r="J256" s="34"/>
      <c r="K256" s="33"/>
      <c r="L256" s="33"/>
    </row>
    <row r="257" spans="1:12">
      <c r="A257" s="30">
        <v>45859</v>
      </c>
      <c r="B257" s="31" t="s">
        <v>41</v>
      </c>
      <c r="C257" s="31" t="s">
        <v>58</v>
      </c>
      <c r="D257" s="31"/>
      <c r="E257" s="31"/>
      <c r="F257" s="32"/>
      <c r="G257" s="33"/>
      <c r="H257" s="33"/>
      <c r="I257" s="33"/>
      <c r="J257" s="33"/>
      <c r="K257" s="33"/>
      <c r="L257" s="33"/>
    </row>
    <row r="258" spans="1:12">
      <c r="A258" s="30">
        <v>45859</v>
      </c>
      <c r="B258" s="31" t="s">
        <v>41</v>
      </c>
      <c r="C258" s="31" t="s">
        <v>46</v>
      </c>
      <c r="D258" s="31"/>
      <c r="E258" s="31"/>
      <c r="F258" s="32"/>
      <c r="G258" s="33"/>
      <c r="H258" s="33"/>
      <c r="I258" s="33"/>
      <c r="J258" s="33"/>
      <c r="K258" s="33"/>
      <c r="L258" s="33"/>
    </row>
    <row r="259" spans="1:12">
      <c r="A259" s="35">
        <v>45863</v>
      </c>
      <c r="B259" s="37" t="s">
        <v>41</v>
      </c>
      <c r="C259" s="37" t="s">
        <v>30</v>
      </c>
      <c r="D259" s="35"/>
      <c r="E259" s="37"/>
      <c r="F259" s="38"/>
      <c r="G259" s="52"/>
      <c r="H259" s="34"/>
      <c r="I259" s="34"/>
      <c r="J259" s="34"/>
      <c r="K259" s="52"/>
      <c r="L259" s="52"/>
    </row>
    <row r="260" spans="1:12">
      <c r="A260" s="47">
        <v>45863</v>
      </c>
      <c r="B260" s="48" t="s">
        <v>41</v>
      </c>
      <c r="C260" s="48" t="s">
        <v>31</v>
      </c>
      <c r="D260" s="47"/>
      <c r="E260" s="48"/>
      <c r="F260" s="49"/>
      <c r="G260" s="50"/>
      <c r="H260" s="34"/>
      <c r="I260" s="34"/>
      <c r="J260" s="34"/>
      <c r="K260" s="50"/>
      <c r="L260" s="50"/>
    </row>
    <row r="261" spans="1:12">
      <c r="A261" s="40">
        <v>45863</v>
      </c>
      <c r="B261" s="42" t="s">
        <v>41</v>
      </c>
      <c r="C261" s="42" t="s">
        <v>32</v>
      </c>
      <c r="D261" s="40"/>
      <c r="E261" s="42"/>
      <c r="F261" s="43"/>
      <c r="G261" s="45"/>
      <c r="H261" s="34"/>
      <c r="I261" s="34"/>
      <c r="J261" s="34"/>
      <c r="K261" s="45"/>
      <c r="L261" s="45"/>
    </row>
    <row r="262" spans="1:12">
      <c r="A262" s="30">
        <v>45860</v>
      </c>
      <c r="B262" s="30" t="s">
        <v>41</v>
      </c>
      <c r="C262" s="31" t="s">
        <v>32</v>
      </c>
      <c r="D262" s="30"/>
      <c r="E262" s="31"/>
      <c r="F262" s="32"/>
      <c r="G262" s="33"/>
      <c r="H262" s="34"/>
      <c r="I262" s="34"/>
      <c r="J262" s="34"/>
      <c r="K262" s="33"/>
      <c r="L262" s="33"/>
    </row>
    <row r="263" spans="1:12">
      <c r="A263" s="93">
        <v>45862</v>
      </c>
      <c r="B263" s="93" t="s">
        <v>41</v>
      </c>
      <c r="C263" s="94" t="s">
        <v>82</v>
      </c>
      <c r="D263" s="93"/>
      <c r="E263" s="94"/>
      <c r="F263" s="95"/>
      <c r="G263" s="96"/>
      <c r="H263" s="96"/>
      <c r="I263" s="96"/>
      <c r="J263" s="96"/>
      <c r="K263" s="96"/>
      <c r="L263" s="96"/>
    </row>
    <row r="264" spans="1:12">
      <c r="A264" s="30">
        <v>45863</v>
      </c>
      <c r="B264" s="46" t="s">
        <v>41</v>
      </c>
      <c r="C264" s="31" t="s">
        <v>38</v>
      </c>
      <c r="D264" s="30"/>
      <c r="E264" s="31"/>
      <c r="F264" s="32"/>
      <c r="G264" s="33"/>
      <c r="H264" s="34"/>
      <c r="I264" s="34"/>
      <c r="J264" s="34"/>
      <c r="K264" s="33"/>
      <c r="L264" s="33"/>
    </row>
    <row r="265" spans="1:12">
      <c r="A265" s="35">
        <v>45863</v>
      </c>
      <c r="B265" s="37" t="s">
        <v>41</v>
      </c>
      <c r="C265" s="37" t="s">
        <v>30</v>
      </c>
      <c r="D265" s="35"/>
      <c r="E265" s="37"/>
      <c r="F265" s="38"/>
      <c r="G265" s="52"/>
      <c r="H265" s="34"/>
      <c r="I265" s="34"/>
      <c r="J265" s="34"/>
      <c r="K265" s="52"/>
      <c r="L265" s="52"/>
    </row>
    <row r="266" spans="1:12">
      <c r="A266" s="47">
        <v>45863</v>
      </c>
      <c r="B266" s="48" t="s">
        <v>41</v>
      </c>
      <c r="C266" s="48" t="s">
        <v>31</v>
      </c>
      <c r="D266" s="47"/>
      <c r="E266" s="48"/>
      <c r="F266" s="49"/>
      <c r="G266" s="50"/>
      <c r="H266" s="34"/>
      <c r="I266" s="34"/>
      <c r="J266" s="34"/>
      <c r="K266" s="45"/>
      <c r="L266" s="45"/>
    </row>
    <row r="267" spans="1:12">
      <c r="A267" s="35">
        <v>45866</v>
      </c>
      <c r="B267" s="37" t="s">
        <v>41</v>
      </c>
      <c r="C267" s="37" t="s">
        <v>30</v>
      </c>
      <c r="D267" s="35"/>
      <c r="E267" s="37"/>
      <c r="F267" s="38"/>
      <c r="G267" s="52"/>
      <c r="H267" s="34"/>
      <c r="I267" s="34"/>
      <c r="J267" s="34"/>
      <c r="K267" s="52"/>
      <c r="L267" s="52"/>
    </row>
    <row r="268" spans="1:12" ht="15" thickBot="1">
      <c r="A268" s="47">
        <v>45866</v>
      </c>
      <c r="B268" s="48" t="s">
        <v>41</v>
      </c>
      <c r="C268" s="48" t="s">
        <v>32</v>
      </c>
      <c r="D268" s="47"/>
      <c r="E268" s="48"/>
      <c r="F268" s="49"/>
      <c r="G268" s="50"/>
      <c r="H268" s="39"/>
      <c r="I268" s="39"/>
      <c r="J268" s="39"/>
      <c r="K268" s="50"/>
      <c r="L268" s="50"/>
    </row>
    <row r="269" spans="1:12">
      <c r="A269" s="103">
        <v>45869</v>
      </c>
      <c r="B269" s="104" t="s">
        <v>41</v>
      </c>
      <c r="C269" s="105" t="s">
        <v>88</v>
      </c>
      <c r="D269" s="104"/>
      <c r="E269" s="105"/>
      <c r="F269" s="106"/>
      <c r="G269" s="107"/>
      <c r="H269" s="107"/>
      <c r="I269" s="107"/>
      <c r="J269" s="107"/>
      <c r="K269" s="107"/>
      <c r="L269" s="108"/>
    </row>
    <row r="270" spans="1:12" ht="15" thickBot="1">
      <c r="A270" s="109">
        <v>45869</v>
      </c>
      <c r="B270" s="110" t="s">
        <v>41</v>
      </c>
      <c r="C270" s="111" t="s">
        <v>88</v>
      </c>
      <c r="D270" s="110"/>
      <c r="E270" s="111"/>
      <c r="F270" s="112"/>
      <c r="G270" s="113"/>
      <c r="H270" s="113"/>
      <c r="I270" s="113"/>
      <c r="J270" s="113"/>
      <c r="K270" s="113"/>
      <c r="L270" s="114"/>
    </row>
    <row r="271" spans="1:12">
      <c r="A271" s="40"/>
      <c r="B271" s="40"/>
      <c r="C271" s="42"/>
      <c r="D271" s="40"/>
      <c r="E271" s="42"/>
      <c r="F271" s="43"/>
      <c r="G271" s="45"/>
      <c r="H271" s="44"/>
      <c r="I271" s="44"/>
      <c r="J271" s="44"/>
      <c r="K271" s="45"/>
      <c r="L271" s="102"/>
    </row>
    <row r="272" spans="1:12">
      <c r="A272" s="30"/>
      <c r="B272" s="30"/>
      <c r="C272" s="31"/>
      <c r="D272" s="30"/>
      <c r="E272" s="31"/>
      <c r="F272" s="32"/>
      <c r="G272" s="56"/>
      <c r="H272" s="34"/>
      <c r="I272" s="34"/>
      <c r="J272" s="34"/>
      <c r="K272" s="31"/>
      <c r="L272" s="26"/>
    </row>
    <row r="273" spans="1:12" ht="15" thickBot="1">
      <c r="A273" s="79" t="s">
        <v>27</v>
      </c>
      <c r="B273" s="79"/>
      <c r="C273" s="79"/>
      <c r="D273" s="79"/>
      <c r="E273" s="79"/>
      <c r="F273" s="79"/>
      <c r="G273" s="54"/>
      <c r="H273" s="55"/>
      <c r="I273" s="55"/>
      <c r="J273" s="55"/>
      <c r="K273" s="54"/>
    </row>
    <row r="274" spans="1:12">
      <c r="A274" s="30"/>
      <c r="B274" s="30"/>
      <c r="C274" s="31"/>
      <c r="D274" s="30"/>
      <c r="E274" s="31"/>
      <c r="F274" s="32"/>
      <c r="G274" s="33"/>
      <c r="H274" s="34"/>
      <c r="I274" s="34"/>
      <c r="J274" s="34"/>
      <c r="K274" s="56"/>
    </row>
    <row r="275" spans="1:12" ht="15" thickBot="1"/>
    <row r="276" spans="1:12" ht="15" thickBot="1">
      <c r="F276" s="58"/>
      <c r="G276" s="59"/>
      <c r="H276" s="60"/>
      <c r="I276" s="60"/>
      <c r="J276" s="60"/>
      <c r="K276" s="61"/>
      <c r="L276" s="61"/>
    </row>
    <row r="277" spans="1:12" ht="15" thickBot="1">
      <c r="B277" s="62"/>
      <c r="F277" s="63"/>
      <c r="G277" s="64"/>
      <c r="H277" s="65"/>
      <c r="I277" s="65"/>
      <c r="J277" s="65"/>
      <c r="K277" s="64"/>
      <c r="L277" s="64"/>
    </row>
    <row r="280" spans="1:12">
      <c r="H280" s="57">
        <f>+H277/0.105</f>
        <v>0</v>
      </c>
      <c r="I280" s="57">
        <f>+I277/0.105</f>
        <v>0</v>
      </c>
    </row>
  </sheetData>
  <mergeCells count="1">
    <mergeCell ref="K2:M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007D-5E7C-43FA-9C9B-04F02FF0F012}">
  <dimension ref="A1:L44"/>
  <sheetViews>
    <sheetView topLeftCell="A5" workbookViewId="0">
      <selection activeCell="J11" sqref="J11:K11"/>
    </sheetView>
  </sheetViews>
  <sheetFormatPr baseColWidth="10" defaultRowHeight="14.25"/>
  <cols>
    <col min="1" max="1" width="13.5" customWidth="1"/>
    <col min="2" max="2" width="13.75" customWidth="1"/>
    <col min="3" max="3" width="12.375" customWidth="1"/>
    <col min="4" max="4" width="8.375" customWidth="1"/>
    <col min="5" max="5" width="18.125" customWidth="1"/>
    <col min="6" max="6" width="17.375" customWidth="1"/>
    <col min="7" max="7" width="15.625" customWidth="1"/>
    <col min="8" max="8" width="16.75" customWidth="1"/>
    <col min="9" max="9" width="6" customWidth="1"/>
    <col min="10" max="10" width="16.75" customWidth="1"/>
    <col min="11" max="11" width="17.875" customWidth="1"/>
    <col min="12" max="12" width="24.125" customWidth="1"/>
  </cols>
  <sheetData>
    <row r="1" spans="1:11" ht="20.25">
      <c r="A1" s="233" t="s">
        <v>9</v>
      </c>
      <c r="B1" s="233"/>
      <c r="C1" s="233"/>
      <c r="D1" s="233"/>
      <c r="E1" s="233"/>
      <c r="F1" s="233"/>
      <c r="G1" s="134"/>
    </row>
    <row r="2" spans="1:11" ht="21" thickBot="1">
      <c r="A2" s="228"/>
      <c r="B2" s="232" t="s">
        <v>0</v>
      </c>
      <c r="C2" s="232"/>
      <c r="D2" s="228"/>
      <c r="E2" s="236" t="s">
        <v>7</v>
      </c>
      <c r="F2" s="237"/>
      <c r="G2" s="238"/>
      <c r="H2" s="228" t="s">
        <v>3</v>
      </c>
      <c r="I2" s="15"/>
      <c r="J2" s="234" t="s">
        <v>207</v>
      </c>
      <c r="K2" s="234"/>
    </row>
    <row r="3" spans="1:11" ht="16.5" thickBot="1">
      <c r="A3" s="16" t="s">
        <v>8</v>
      </c>
      <c r="B3" s="16" t="s">
        <v>1</v>
      </c>
      <c r="C3" s="16" t="s">
        <v>2</v>
      </c>
      <c r="D3" s="16" t="s">
        <v>5</v>
      </c>
      <c r="E3" s="16" t="s">
        <v>4</v>
      </c>
      <c r="F3" s="137" t="s">
        <v>6</v>
      </c>
      <c r="G3" s="139" t="s">
        <v>123</v>
      </c>
      <c r="H3" s="138" t="s">
        <v>13</v>
      </c>
      <c r="I3" s="24"/>
    </row>
    <row r="4" spans="1:11" ht="21" customHeight="1" thickBot="1">
      <c r="A4" s="14">
        <v>46054</v>
      </c>
      <c r="B4" s="8">
        <f>6+6+2+4+6</f>
        <v>24</v>
      </c>
      <c r="C4" s="8">
        <f>6+3+4+4+8</f>
        <v>25</v>
      </c>
      <c r="D4" s="8"/>
      <c r="E4" s="69"/>
      <c r="F4" s="17">
        <f>3900+7200+9200+16200</f>
        <v>36500</v>
      </c>
      <c r="G4" s="135">
        <f>7800+19200</f>
        <v>27000</v>
      </c>
      <c r="H4" s="20">
        <f>E4+F4</f>
        <v>36500</v>
      </c>
      <c r="I4" s="28"/>
      <c r="J4" s="11" t="s">
        <v>10</v>
      </c>
      <c r="K4" s="12">
        <f>SUMIF(F4:F31,"&gt;0")</f>
        <v>743900</v>
      </c>
    </row>
    <row r="5" spans="1:11" ht="21" customHeight="1" thickBot="1">
      <c r="A5" s="14">
        <v>46055</v>
      </c>
      <c r="B5" s="8"/>
      <c r="C5" s="8"/>
      <c r="D5" s="8"/>
      <c r="E5" s="69"/>
      <c r="F5" s="18"/>
      <c r="G5" s="135"/>
      <c r="H5" s="20">
        <f t="shared" ref="H5:H18" si="0">E5+F5</f>
        <v>0</v>
      </c>
      <c r="I5" s="28"/>
      <c r="J5" s="11" t="s">
        <v>11</v>
      </c>
      <c r="K5" s="13">
        <f>SUMIF(E4:E31,"&gt;0")</f>
        <v>854000</v>
      </c>
    </row>
    <row r="6" spans="1:11" ht="21" customHeight="1" thickBot="1">
      <c r="A6" s="14">
        <v>46056</v>
      </c>
      <c r="B6" s="8">
        <f>6+3+2+12+2+6</f>
        <v>31</v>
      </c>
      <c r="C6" s="8">
        <f>3+4+2+12</f>
        <v>21</v>
      </c>
      <c r="D6" s="8">
        <v>1</v>
      </c>
      <c r="E6" s="69">
        <f>7800+7200+2600+13200+2000</f>
        <v>32800</v>
      </c>
      <c r="F6" s="18">
        <v>6900</v>
      </c>
      <c r="G6" s="135">
        <v>30600</v>
      </c>
      <c r="H6" s="20">
        <f t="shared" si="0"/>
        <v>39700</v>
      </c>
      <c r="I6" s="28"/>
      <c r="J6" s="11" t="s">
        <v>124</v>
      </c>
      <c r="K6" s="136">
        <f>SUMIF(G4:G34,"&gt;0")</f>
        <v>829450</v>
      </c>
    </row>
    <row r="7" spans="1:11" ht="21" customHeight="1" thickBot="1">
      <c r="A7" s="14">
        <v>46057</v>
      </c>
      <c r="B7" s="8">
        <f>6+2+3+2+6+4+6+6+6</f>
        <v>41</v>
      </c>
      <c r="C7" s="8">
        <f>6+3+3+9+6+5+6</f>
        <v>38</v>
      </c>
      <c r="D7" s="8"/>
      <c r="E7" s="69">
        <v>6900</v>
      </c>
      <c r="F7" s="19">
        <f>5900+6000+7800+10500+13800+6000+6000</f>
        <v>56000</v>
      </c>
      <c r="G7" s="135">
        <f>19200+19700</f>
        <v>38900</v>
      </c>
      <c r="H7" s="20">
        <f t="shared" si="0"/>
        <v>62900</v>
      </c>
      <c r="I7" s="28"/>
      <c r="J7" s="179" t="s">
        <v>3</v>
      </c>
      <c r="K7" s="131">
        <f>K4+K5+K6</f>
        <v>2427350</v>
      </c>
    </row>
    <row r="8" spans="1:11" ht="21" customHeight="1" thickBot="1">
      <c r="A8" s="14">
        <v>46058</v>
      </c>
      <c r="B8" s="8">
        <f>4+1+6+12+12+6+3</f>
        <v>44</v>
      </c>
      <c r="C8" s="8">
        <f>8+1+6+5+6+3</f>
        <v>29</v>
      </c>
      <c r="D8" s="8">
        <v>1</v>
      </c>
      <c r="E8" s="69">
        <f>2300+6000+12000+13800</f>
        <v>34100</v>
      </c>
      <c r="F8" s="19">
        <f>14400+7700+7800+6900</f>
        <v>36800</v>
      </c>
      <c r="G8" s="136">
        <v>15600</v>
      </c>
      <c r="H8" s="20">
        <f t="shared" si="0"/>
        <v>70900</v>
      </c>
    </row>
    <row r="9" spans="1:11" ht="21" customHeight="1" thickBot="1">
      <c r="A9" s="14">
        <v>46059</v>
      </c>
      <c r="B9" s="8">
        <v>4</v>
      </c>
      <c r="C9" s="8">
        <f>6+2</f>
        <v>8</v>
      </c>
      <c r="D9" s="8"/>
      <c r="E9" s="69"/>
      <c r="F9" s="100">
        <v>6600</v>
      </c>
      <c r="G9" s="136">
        <v>11400</v>
      </c>
      <c r="H9" s="20">
        <f t="shared" si="0"/>
        <v>6600</v>
      </c>
      <c r="J9" s="234" t="s">
        <v>14</v>
      </c>
      <c r="K9" s="234"/>
    </row>
    <row r="10" spans="1:11" ht="21" customHeight="1" thickBot="1">
      <c r="A10" s="14">
        <v>46060</v>
      </c>
      <c r="B10" s="8">
        <f>5+5+12+3+3+3</f>
        <v>31</v>
      </c>
      <c r="C10" s="8">
        <f>6+6+3+1+1</f>
        <v>17</v>
      </c>
      <c r="D10" s="8"/>
      <c r="E10" s="69">
        <f>4300+4300</f>
        <v>8600</v>
      </c>
      <c r="F10" s="100">
        <f>13800+6900</f>
        <v>20700</v>
      </c>
      <c r="G10" s="136">
        <f>19200+15600</f>
        <v>34800</v>
      </c>
      <c r="H10" s="20">
        <f>E10+F10</f>
        <v>29300</v>
      </c>
      <c r="J10" s="27" t="s">
        <v>1</v>
      </c>
      <c r="K10" s="27" t="s">
        <v>2</v>
      </c>
    </row>
    <row r="11" spans="1:11" ht="21" customHeight="1" thickBot="1">
      <c r="A11" s="14">
        <v>46061</v>
      </c>
      <c r="B11" s="8">
        <f>18+2+6+4+2+12+6+1+8+6+12+4+12+6+12+6+3</f>
        <v>120</v>
      </c>
      <c r="C11" s="8">
        <f>6+4+6+8+3+6+6+2+12+12+2</f>
        <v>67</v>
      </c>
      <c r="D11" s="8">
        <f>1+1</f>
        <v>2</v>
      </c>
      <c r="E11" s="69">
        <f>2000+4000+10200+19200+13800+6000+6800</f>
        <v>62000</v>
      </c>
      <c r="F11" s="100">
        <f>18000+12000+11900+6600+27600</f>
        <v>76100</v>
      </c>
      <c r="G11" s="136">
        <f>19200+14850+11400+15600+32200+15600</f>
        <v>108850</v>
      </c>
      <c r="H11" s="20">
        <f t="shared" si="0"/>
        <v>138100</v>
      </c>
      <c r="J11" s="29">
        <f>SUM(B4:B33)</f>
        <v>1062</v>
      </c>
      <c r="K11" s="29">
        <f>SUM(C4:C33)</f>
        <v>772</v>
      </c>
    </row>
    <row r="12" spans="1:11" ht="21" customHeight="1" thickBot="1">
      <c r="A12" s="14">
        <v>46062</v>
      </c>
      <c r="B12" s="8">
        <f>3+4+6+12+4+4</f>
        <v>33</v>
      </c>
      <c r="C12" s="8">
        <f>3+6+8+7</f>
        <v>24</v>
      </c>
      <c r="D12" s="8">
        <v>1</v>
      </c>
      <c r="E12" s="69">
        <f>8100+4000+4000</f>
        <v>16100</v>
      </c>
      <c r="F12" s="100">
        <v>14400</v>
      </c>
      <c r="G12" s="136">
        <f>7800+27000+13300</f>
        <v>48100</v>
      </c>
      <c r="H12" s="20">
        <f t="shared" si="0"/>
        <v>30500</v>
      </c>
    </row>
    <row r="13" spans="1:11" ht="21" customHeight="1" thickBot="1">
      <c r="A13" s="14">
        <v>46063</v>
      </c>
      <c r="B13" s="8">
        <f>6+3+4+2+2</f>
        <v>17</v>
      </c>
      <c r="C13" s="8">
        <f>6+8+2+2</f>
        <v>18</v>
      </c>
      <c r="D13" s="8">
        <v>3</v>
      </c>
      <c r="E13" s="69">
        <f>13800+3000+4600+4600</f>
        <v>26000</v>
      </c>
      <c r="F13" s="100">
        <v>17400</v>
      </c>
      <c r="G13" s="136"/>
      <c r="H13" s="20">
        <f t="shared" si="0"/>
        <v>43400</v>
      </c>
    </row>
    <row r="14" spans="1:11" ht="21" customHeight="1" thickBot="1">
      <c r="A14" s="14">
        <v>46064</v>
      </c>
      <c r="B14" s="8">
        <f>4+4+3+6+6</f>
        <v>23</v>
      </c>
      <c r="C14" s="8">
        <f>6+6+6+2+2+5</f>
        <v>27</v>
      </c>
      <c r="D14" s="8">
        <f>2+2</f>
        <v>4</v>
      </c>
      <c r="E14" s="69">
        <f>6400+15300+2400+2600</f>
        <v>26700</v>
      </c>
      <c r="F14" s="100">
        <f>4000+13800+2600+6500</f>
        <v>26900</v>
      </c>
      <c r="G14" s="136">
        <v>19200</v>
      </c>
      <c r="H14" s="20">
        <f t="shared" si="0"/>
        <v>53600</v>
      </c>
      <c r="J14" s="97"/>
      <c r="K14" s="131"/>
    </row>
    <row r="15" spans="1:11" ht="21" customHeight="1" thickBot="1">
      <c r="A15" s="14">
        <v>46065</v>
      </c>
      <c r="B15" s="8">
        <f>6+6+10+1+2+6+3+12</f>
        <v>46</v>
      </c>
      <c r="C15" s="8">
        <f>4+2+3</f>
        <v>9</v>
      </c>
      <c r="D15" s="8"/>
      <c r="E15" s="69">
        <f>6000+10000+6000+9600</f>
        <v>31600</v>
      </c>
      <c r="F15" s="19">
        <f>6200+4600</f>
        <v>10800</v>
      </c>
      <c r="G15" s="136">
        <f>7800+15600</f>
        <v>23400</v>
      </c>
      <c r="H15" s="20">
        <f t="shared" si="0"/>
        <v>42400</v>
      </c>
      <c r="K15" s="131"/>
    </row>
    <row r="16" spans="1:11" ht="21" customHeight="1" thickBot="1">
      <c r="A16" s="14">
        <v>46066</v>
      </c>
      <c r="B16" s="8">
        <f>2+2+3+2+7+6+2+2+3+6</f>
        <v>35</v>
      </c>
      <c r="C16" s="8">
        <f>10+6+24+3+4+6+4+2+3+6+6</f>
        <v>74</v>
      </c>
      <c r="D16" s="8">
        <f>3+1</f>
        <v>4</v>
      </c>
      <c r="E16" s="69">
        <f>13000+11400+4600+13800+4600+11400</f>
        <v>58800</v>
      </c>
      <c r="F16" s="19">
        <f>7200+10000+8400+6900+13800</f>
        <v>46300</v>
      </c>
      <c r="G16" s="136">
        <f>10200+9600</f>
        <v>19800</v>
      </c>
      <c r="H16" s="20">
        <f t="shared" si="0"/>
        <v>105100</v>
      </c>
    </row>
    <row r="17" spans="1:12" ht="21" customHeight="1" thickBot="1">
      <c r="A17" s="14">
        <v>46067</v>
      </c>
      <c r="B17" s="8">
        <f>6+4+6+4+6+6+6+3+3+6+1+6</f>
        <v>57</v>
      </c>
      <c r="C17" s="8">
        <f>6+4+6+5+1+6</f>
        <v>28</v>
      </c>
      <c r="D17" s="8"/>
      <c r="E17" s="69">
        <f>9600+4000+6000+6000+6000</f>
        <v>31600</v>
      </c>
      <c r="F17" s="19">
        <f>10800+9500+2300+13800</f>
        <v>36400</v>
      </c>
      <c r="G17" s="136">
        <f>19200+7800+7800</f>
        <v>34800</v>
      </c>
      <c r="H17" s="20">
        <f t="shared" si="0"/>
        <v>68000</v>
      </c>
      <c r="L17" s="131"/>
    </row>
    <row r="18" spans="1:12" ht="21" customHeight="1" thickBot="1">
      <c r="A18" s="14">
        <v>46068</v>
      </c>
      <c r="B18" s="8">
        <f>6+3+5+6+3+6+1+4+6</f>
        <v>40</v>
      </c>
      <c r="C18" s="8">
        <f>3+4+2+6+3+6+6+2+2</f>
        <v>34</v>
      </c>
      <c r="D18" s="8">
        <f>1+1+3</f>
        <v>5</v>
      </c>
      <c r="E18" s="69">
        <f>10000+7800+6600+6000</f>
        <v>30400</v>
      </c>
      <c r="F18" s="19">
        <f>7200+7800+16800+3600</f>
        <v>35400</v>
      </c>
      <c r="G18" s="136">
        <f>9600+11600+11200</f>
        <v>32400</v>
      </c>
      <c r="H18" s="20">
        <f t="shared" si="0"/>
        <v>65800</v>
      </c>
    </row>
    <row r="19" spans="1:12" ht="21" customHeight="1" thickBot="1">
      <c r="A19" s="14">
        <v>46069</v>
      </c>
      <c r="B19" s="8">
        <f>24+15+6+12+9+3+10+6+12+6</f>
        <v>103</v>
      </c>
      <c r="C19" s="8">
        <f>3+6+6+6+6+6+6</f>
        <v>39</v>
      </c>
      <c r="D19" s="8"/>
      <c r="E19" s="69">
        <f>3900+7800+7800</f>
        <v>19500</v>
      </c>
      <c r="F19" s="19">
        <f>24000+7800+10000</f>
        <v>41800</v>
      </c>
      <c r="G19" s="136">
        <f>25200+19200+15600+11400+11700+19200+15600+7800</f>
        <v>125700</v>
      </c>
      <c r="H19" s="20">
        <f>E19+F19</f>
        <v>61300</v>
      </c>
    </row>
    <row r="20" spans="1:12" ht="21" customHeight="1" thickBot="1">
      <c r="A20" s="14">
        <v>46070</v>
      </c>
      <c r="B20" s="8">
        <f>3+4+3+1</f>
        <v>11</v>
      </c>
      <c r="C20" s="8">
        <f>6+4+1+6+5</f>
        <v>22</v>
      </c>
      <c r="D20" s="8"/>
      <c r="E20" s="69">
        <f>3000+2300+7800</f>
        <v>13100</v>
      </c>
      <c r="F20" s="19">
        <f>10800+9200+6500</f>
        <v>26500</v>
      </c>
      <c r="G20" s="136"/>
      <c r="H20" s="20">
        <f>E20+F20</f>
        <v>39600</v>
      </c>
    </row>
    <row r="21" spans="1:12" ht="21" customHeight="1" thickBot="1">
      <c r="A21" s="14">
        <v>46071</v>
      </c>
      <c r="B21" s="8">
        <f>12+6+2</f>
        <v>20</v>
      </c>
      <c r="C21" s="8">
        <f>3+6+7</f>
        <v>16</v>
      </c>
      <c r="D21" s="8"/>
      <c r="E21" s="69">
        <f>12000+13800</f>
        <v>25800</v>
      </c>
      <c r="F21" s="19">
        <f>3900+11100</f>
        <v>15000</v>
      </c>
      <c r="G21" s="136"/>
      <c r="H21" s="20">
        <f t="shared" ref="H21:H29" si="1">E21+F21</f>
        <v>40800</v>
      </c>
    </row>
    <row r="22" spans="1:12" ht="21" customHeight="1" thickBot="1">
      <c r="A22" s="14">
        <v>46072</v>
      </c>
      <c r="B22" s="8">
        <f>2+8</f>
        <v>10</v>
      </c>
      <c r="C22" s="8">
        <v>4</v>
      </c>
      <c r="D22" s="8">
        <v>3</v>
      </c>
      <c r="E22" s="69">
        <f>3000+2200+6000</f>
        <v>11200</v>
      </c>
      <c r="F22" s="19"/>
      <c r="G22" s="136">
        <v>10600</v>
      </c>
      <c r="H22" s="20">
        <f t="shared" si="1"/>
        <v>11200</v>
      </c>
    </row>
    <row r="23" spans="1:12" ht="21" customHeight="1" thickBot="1">
      <c r="A23" s="14">
        <v>46073</v>
      </c>
      <c r="B23" s="8">
        <f>6+6+12+10</f>
        <v>34</v>
      </c>
      <c r="C23" s="8">
        <f>6+6+2</f>
        <v>14</v>
      </c>
      <c r="D23" s="8">
        <v>3</v>
      </c>
      <c r="E23" s="69">
        <f>13200+14000</f>
        <v>27200</v>
      </c>
      <c r="F23" s="19">
        <v>18600</v>
      </c>
      <c r="G23" s="136">
        <v>19200</v>
      </c>
      <c r="H23" s="20">
        <f t="shared" si="1"/>
        <v>45800</v>
      </c>
    </row>
    <row r="24" spans="1:12" ht="21" customHeight="1" thickBot="1">
      <c r="A24" s="14">
        <v>46074</v>
      </c>
      <c r="B24" s="8">
        <f>6+6+12+6+6+4+6+6+1</f>
        <v>53</v>
      </c>
      <c r="C24" s="8">
        <f>2+4+6+4+6+3+4</f>
        <v>29</v>
      </c>
      <c r="D24" s="8">
        <v>1</v>
      </c>
      <c r="E24" s="69">
        <f>6600+6000+13200+6000+9000+4100+6000</f>
        <v>50900</v>
      </c>
      <c r="F24" s="19">
        <f>1500+5600+6600</f>
        <v>13700</v>
      </c>
      <c r="G24" s="136">
        <f>11600+7800+19200+7800</f>
        <v>46400</v>
      </c>
      <c r="H24" s="20">
        <f t="shared" si="1"/>
        <v>64600</v>
      </c>
    </row>
    <row r="25" spans="1:12" ht="21" customHeight="1" thickBot="1">
      <c r="A25" s="14">
        <v>46075</v>
      </c>
      <c r="B25" s="8">
        <f>12+2+6+6+6+4+6+3+4+6+3+3</f>
        <v>61</v>
      </c>
      <c r="C25" s="8">
        <f>4+4+6+8+10+12+3+1+3+3+10</f>
        <v>64</v>
      </c>
      <c r="D25" s="8"/>
      <c r="E25" s="69">
        <f>13200+8200+16400+15000+6600+7800+1500+4400+6600+7800</f>
        <v>87500</v>
      </c>
      <c r="F25" s="19">
        <f>6000+6600+18000+15000+7800</f>
        <v>53400</v>
      </c>
      <c r="G25" s="136">
        <f>21000+8400</f>
        <v>29400</v>
      </c>
      <c r="H25" s="20">
        <f t="shared" si="1"/>
        <v>140900</v>
      </c>
    </row>
    <row r="26" spans="1:12" ht="21" customHeight="1" thickBot="1">
      <c r="A26" s="14">
        <v>46076</v>
      </c>
      <c r="B26" s="8">
        <f>10+2+3+2+4+8</f>
        <v>29</v>
      </c>
      <c r="C26" s="8">
        <f>4+2+4+12+4+4+4+6</f>
        <v>40</v>
      </c>
      <c r="D26" s="8">
        <f>5+3</f>
        <v>8</v>
      </c>
      <c r="E26" s="69">
        <f>11000+10400+3000</f>
        <v>24400</v>
      </c>
      <c r="F26" s="19">
        <f>8200+5300+13600+18000+14800+6000</f>
        <v>65900</v>
      </c>
      <c r="G26" s="136">
        <v>12600</v>
      </c>
      <c r="H26" s="20">
        <f t="shared" si="1"/>
        <v>90300</v>
      </c>
    </row>
    <row r="27" spans="1:12" ht="21" customHeight="1" thickBot="1">
      <c r="A27" s="14">
        <v>46077</v>
      </c>
      <c r="B27" s="8">
        <f>3+8+12+1+12+5+4+1+2</f>
        <v>48</v>
      </c>
      <c r="C27" s="8">
        <f>3+6+1+3+1+4</f>
        <v>18</v>
      </c>
      <c r="D27" s="8">
        <v>3</v>
      </c>
      <c r="E27" s="69">
        <f>1100+13200+7000+8900+2600+8200</f>
        <v>41000</v>
      </c>
      <c r="F27" s="19">
        <v>10800</v>
      </c>
      <c r="G27" s="136">
        <f>11200+29400</f>
        <v>40600</v>
      </c>
      <c r="H27" s="20">
        <f t="shared" si="1"/>
        <v>51800</v>
      </c>
    </row>
    <row r="28" spans="1:12" ht="21" customHeight="1" thickBot="1">
      <c r="A28" s="14">
        <v>46078</v>
      </c>
      <c r="B28" s="8">
        <f>6+4+2</f>
        <v>12</v>
      </c>
      <c r="C28" s="8">
        <f>6+2</f>
        <v>8</v>
      </c>
      <c r="D28" s="8">
        <v>3</v>
      </c>
      <c r="E28" s="69">
        <v>7400</v>
      </c>
      <c r="F28" s="19">
        <v>5200</v>
      </c>
      <c r="G28" s="136">
        <v>21000</v>
      </c>
      <c r="H28" s="20">
        <f t="shared" si="1"/>
        <v>12600</v>
      </c>
    </row>
    <row r="29" spans="1:12" ht="21" customHeight="1" thickBot="1">
      <c r="A29" s="14">
        <v>46079</v>
      </c>
      <c r="B29" s="8">
        <f>6+6+6+5+9</f>
        <v>32</v>
      </c>
      <c r="C29" s="8">
        <f>6+6+8+5+9</f>
        <v>34</v>
      </c>
      <c r="D29" s="8">
        <v>2</v>
      </c>
      <c r="E29" s="69">
        <f>15600+15600+13000</f>
        <v>44200</v>
      </c>
      <c r="F29" s="19">
        <f>12000+25800</f>
        <v>37800</v>
      </c>
      <c r="G29" s="136">
        <v>8400</v>
      </c>
      <c r="H29" s="20">
        <f t="shared" si="1"/>
        <v>82000</v>
      </c>
    </row>
    <row r="30" spans="1:12" ht="21" customHeight="1" thickBot="1">
      <c r="A30" s="14">
        <v>46080</v>
      </c>
      <c r="B30" s="8">
        <f>12+6+4+6+2+6</f>
        <v>36</v>
      </c>
      <c r="C30" s="8">
        <f>6+3+6+2+4</f>
        <v>21</v>
      </c>
      <c r="D30" s="8"/>
      <c r="E30" s="69">
        <f>13200+4500+4400+3000</f>
        <v>25100</v>
      </c>
      <c r="F30" s="19">
        <f>6600+8200</f>
        <v>14800</v>
      </c>
      <c r="G30" s="136">
        <f>21000+16800</f>
        <v>37800</v>
      </c>
      <c r="H30" s="20">
        <f>E30+F30</f>
        <v>39900</v>
      </c>
    </row>
    <row r="31" spans="1:12" ht="21" customHeight="1" thickBot="1">
      <c r="A31" s="14">
        <v>46081</v>
      </c>
      <c r="B31" s="8">
        <f>3+2+6+6+12+6+10+1+1+4+6+4+6</f>
        <v>67</v>
      </c>
      <c r="C31" s="8">
        <f>2+1+6+6+6+6+6+3+4+4</f>
        <v>44</v>
      </c>
      <c r="D31" s="8">
        <v>1</v>
      </c>
      <c r="E31" s="69">
        <f>6300+4100+19800+15600+13200+9000+11000+7100+14000+4400+6600</f>
        <v>111100</v>
      </c>
      <c r="F31" s="19">
        <f>6600+6600</f>
        <v>13200</v>
      </c>
      <c r="G31" s="136">
        <f>12600+12600+7700</f>
        <v>32900</v>
      </c>
      <c r="H31" s="20">
        <f>E31+F31</f>
        <v>124300</v>
      </c>
    </row>
    <row r="32" spans="1:12" ht="21" customHeight="1" thickBot="1">
      <c r="A32" s="14"/>
      <c r="B32" s="8"/>
      <c r="C32" s="8"/>
      <c r="D32" s="8"/>
      <c r="E32" s="69"/>
      <c r="F32" s="19"/>
      <c r="G32" s="136"/>
      <c r="H32" s="20">
        <f>E32+F32</f>
        <v>0</v>
      </c>
    </row>
    <row r="33" spans="1:8" ht="21" customHeight="1" thickBot="1">
      <c r="A33" s="14"/>
      <c r="B33" s="8"/>
      <c r="C33" s="8"/>
      <c r="D33" s="8"/>
      <c r="E33" s="69"/>
      <c r="F33" s="19"/>
      <c r="G33" s="136"/>
      <c r="H33" s="20">
        <f>E33+F33</f>
        <v>0</v>
      </c>
    </row>
    <row r="34" spans="1:8" ht="21" customHeight="1" thickBot="1">
      <c r="A34" s="14"/>
      <c r="B34" s="8"/>
      <c r="C34" s="8"/>
      <c r="D34" s="8"/>
      <c r="E34" s="69"/>
      <c r="F34" s="19"/>
      <c r="G34" s="136"/>
      <c r="H34" s="20">
        <f>E34+F34</f>
        <v>0</v>
      </c>
    </row>
    <row r="35" spans="1:8" ht="21" customHeight="1">
      <c r="A35" s="14"/>
      <c r="B35" s="9"/>
      <c r="C35" s="9"/>
      <c r="D35" s="9"/>
      <c r="E35" s="9"/>
      <c r="F35" s="9"/>
      <c r="G35" s="9"/>
    </row>
    <row r="36" spans="1:8" ht="21" customHeight="1">
      <c r="A36" s="14"/>
      <c r="B36" s="9"/>
      <c r="C36" s="9"/>
      <c r="D36" s="9"/>
      <c r="E36" s="9"/>
      <c r="F36" s="9"/>
      <c r="G36" s="9"/>
    </row>
    <row r="37" spans="1:8" ht="21" customHeight="1">
      <c r="A37" s="14"/>
      <c r="B37" s="9"/>
      <c r="C37" s="9"/>
      <c r="D37" s="9"/>
      <c r="E37" s="9"/>
      <c r="F37" s="9"/>
      <c r="G37" s="9"/>
    </row>
    <row r="38" spans="1:8" ht="21" customHeight="1">
      <c r="A38" s="14"/>
      <c r="B38" s="9"/>
      <c r="C38" s="9"/>
      <c r="D38" s="9"/>
      <c r="E38" s="9"/>
      <c r="F38" s="9"/>
      <c r="G38" s="9"/>
    </row>
    <row r="39" spans="1:8" ht="21" customHeight="1">
      <c r="A39" s="14"/>
      <c r="B39" s="9"/>
      <c r="C39" s="9"/>
      <c r="D39" s="9"/>
      <c r="E39" s="9"/>
      <c r="F39" s="9"/>
      <c r="G39" s="9"/>
    </row>
    <row r="40" spans="1:8" ht="21" customHeight="1">
      <c r="A40" s="14"/>
      <c r="B40" s="9"/>
      <c r="C40" s="9"/>
      <c r="D40" s="9"/>
      <c r="E40" s="9"/>
      <c r="F40" s="9"/>
      <c r="G40" s="9"/>
    </row>
    <row r="41" spans="1:8" ht="21" customHeight="1">
      <c r="A41" s="9"/>
      <c r="B41" s="9"/>
      <c r="C41" s="9"/>
      <c r="D41" s="9"/>
      <c r="E41" s="9"/>
      <c r="F41" s="9"/>
      <c r="G41" s="9"/>
    </row>
    <row r="42" spans="1:8" ht="20.25">
      <c r="A42" s="7"/>
      <c r="B42" s="7"/>
      <c r="C42" s="7"/>
      <c r="D42" s="7"/>
      <c r="E42" s="7"/>
      <c r="F42" s="7"/>
      <c r="G42" s="7"/>
    </row>
    <row r="43" spans="1:8" ht="20.25">
      <c r="A43" s="7"/>
      <c r="B43" s="7"/>
      <c r="C43" s="7"/>
      <c r="D43" s="7"/>
      <c r="E43" s="7"/>
      <c r="F43" s="7"/>
      <c r="G43" s="7"/>
    </row>
    <row r="44" spans="1:8" ht="20.25">
      <c r="A44" s="7"/>
      <c r="B44" s="7"/>
      <c r="C44" s="7"/>
      <c r="D44" s="7"/>
      <c r="E44" s="7"/>
      <c r="F44" s="7"/>
      <c r="G44" s="7"/>
    </row>
  </sheetData>
  <mergeCells count="5">
    <mergeCell ref="A1:F1"/>
    <mergeCell ref="B2:C2"/>
    <mergeCell ref="E2:G2"/>
    <mergeCell ref="J2:K2"/>
    <mergeCell ref="J9:K9"/>
  </mergeCells>
  <pageMargins left="0.7" right="0.7" top="0.75" bottom="0.75" header="0.3" footer="0.3"/>
  <pageSetup orientation="portrait" copies="2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D020-68B8-4562-A495-DB96D54C92E1}">
  <dimension ref="A1:BB282"/>
  <sheetViews>
    <sheetView topLeftCell="E1" zoomScaleNormal="100" workbookViewId="0">
      <pane ySplit="3" topLeftCell="A4" activePane="bottomLeft" state="frozen"/>
      <selection activeCell="F39" sqref="F39"/>
      <selection pane="bottomLeft" activeCell="G6" sqref="G6"/>
    </sheetView>
  </sheetViews>
  <sheetFormatPr baseColWidth="10" defaultRowHeight="14.25"/>
  <cols>
    <col min="1" max="1" width="11" style="25"/>
    <col min="2" max="2" width="9.375" style="25" customWidth="1"/>
    <col min="3" max="3" width="19" style="25" customWidth="1"/>
    <col min="4" max="4" width="32.125" style="25" customWidth="1"/>
    <col min="5" max="5" width="10.125" style="25" customWidth="1"/>
    <col min="6" max="6" width="72.875" style="25" customWidth="1"/>
    <col min="7" max="7" width="13.75" style="25" customWidth="1"/>
    <col min="8" max="8" width="15.25" style="57" hidden="1" customWidth="1"/>
    <col min="9" max="9" width="15.625" style="57" hidden="1" customWidth="1"/>
    <col min="10" max="10" width="13.25" style="57" hidden="1" customWidth="1"/>
    <col min="11" max="11" width="15.625" style="25" customWidth="1"/>
    <col min="12" max="12" width="16.375" bestFit="1" customWidth="1"/>
    <col min="13" max="13" width="14.5" customWidth="1"/>
    <col min="14" max="14" width="13.25" customWidth="1"/>
  </cols>
  <sheetData>
    <row r="1" spans="1:54" s="85" customFormat="1">
      <c r="A1" s="80" t="s">
        <v>15</v>
      </c>
      <c r="B1" s="81"/>
      <c r="C1" s="81"/>
      <c r="D1" s="81"/>
      <c r="E1" s="81"/>
      <c r="F1" s="81"/>
      <c r="G1" s="81"/>
      <c r="H1" s="82"/>
      <c r="I1" s="82"/>
      <c r="J1" s="82"/>
      <c r="K1" s="83"/>
      <c r="L1" s="84"/>
      <c r="M1" s="84"/>
    </row>
    <row r="2" spans="1:54" s="85" customFormat="1">
      <c r="A2" s="86"/>
      <c r="B2" s="87"/>
      <c r="C2" s="87"/>
      <c r="D2" s="87"/>
      <c r="E2" s="87"/>
      <c r="F2" s="87"/>
      <c r="G2" s="87"/>
      <c r="H2" s="88"/>
      <c r="I2" s="88"/>
      <c r="J2" s="88"/>
      <c r="K2" s="235" t="s">
        <v>25</v>
      </c>
      <c r="L2" s="235"/>
      <c r="M2" s="235"/>
    </row>
    <row r="3" spans="1:54" s="85" customFormat="1" ht="15" thickBot="1">
      <c r="A3" s="90" t="s">
        <v>16</v>
      </c>
      <c r="B3" s="90" t="s">
        <v>17</v>
      </c>
      <c r="C3" s="90" t="s">
        <v>18</v>
      </c>
      <c r="D3" s="90" t="s">
        <v>19</v>
      </c>
      <c r="E3" s="90" t="s">
        <v>87</v>
      </c>
      <c r="F3" s="90" t="s">
        <v>20</v>
      </c>
      <c r="G3" s="90" t="s">
        <v>21</v>
      </c>
      <c r="H3" s="91" t="s">
        <v>22</v>
      </c>
      <c r="I3" s="91" t="s">
        <v>23</v>
      </c>
      <c r="J3" s="91" t="s">
        <v>24</v>
      </c>
      <c r="K3" s="142" t="s">
        <v>4</v>
      </c>
      <c r="L3" s="143" t="s">
        <v>37</v>
      </c>
      <c r="M3" s="144" t="s">
        <v>126</v>
      </c>
    </row>
    <row r="4" spans="1:54">
      <c r="A4" s="103">
        <v>46082</v>
      </c>
      <c r="B4" s="104" t="s">
        <v>41</v>
      </c>
      <c r="C4" s="105" t="s">
        <v>88</v>
      </c>
      <c r="D4" s="104" t="s">
        <v>91</v>
      </c>
      <c r="E4" s="105"/>
      <c r="F4" s="106" t="s">
        <v>219</v>
      </c>
      <c r="G4" s="107">
        <v>335000</v>
      </c>
      <c r="H4" s="107"/>
      <c r="I4" s="107"/>
      <c r="J4" s="107"/>
      <c r="K4" s="107"/>
      <c r="L4" s="108">
        <f>G4</f>
        <v>335000</v>
      </c>
      <c r="M4" s="131"/>
      <c r="N4" s="131"/>
    </row>
    <row r="5" spans="1:54">
      <c r="A5" s="47">
        <v>46084</v>
      </c>
      <c r="B5" s="48" t="s">
        <v>41</v>
      </c>
      <c r="C5" s="48" t="s">
        <v>32</v>
      </c>
      <c r="D5" s="47" t="s">
        <v>47</v>
      </c>
      <c r="E5" s="48">
        <v>2</v>
      </c>
      <c r="F5" s="49" t="s">
        <v>220</v>
      </c>
      <c r="G5" s="50">
        <f>27300*2</f>
        <v>54600</v>
      </c>
      <c r="H5" s="39"/>
      <c r="I5" s="39"/>
      <c r="J5" s="39"/>
      <c r="K5" s="50">
        <f>G5</f>
        <v>54600</v>
      </c>
      <c r="L5" s="50">
        <v>0</v>
      </c>
    </row>
    <row r="6" spans="1:54">
      <c r="A6" s="47"/>
      <c r="B6" s="48"/>
      <c r="C6" s="48"/>
      <c r="D6" s="47"/>
      <c r="E6" s="48"/>
      <c r="F6" s="49"/>
      <c r="G6" s="50"/>
      <c r="H6" s="39"/>
      <c r="I6" s="39"/>
      <c r="J6" s="39"/>
      <c r="K6" s="50"/>
      <c r="L6" s="50"/>
    </row>
    <row r="7" spans="1:54" s="165" customFormat="1">
      <c r="A7" s="161"/>
      <c r="B7" s="161"/>
      <c r="C7" s="162"/>
      <c r="D7" s="161"/>
      <c r="E7" s="162"/>
      <c r="F7" s="163"/>
      <c r="G7" s="164"/>
      <c r="H7" s="164"/>
      <c r="I7" s="164"/>
      <c r="J7" s="164"/>
      <c r="K7" s="164"/>
      <c r="L7" s="164"/>
      <c r="M7" s="166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</row>
    <row r="8" spans="1:54" ht="15" thickBot="1">
      <c r="A8" s="109"/>
      <c r="B8" s="110"/>
      <c r="C8" s="111"/>
      <c r="D8" s="110"/>
      <c r="E8" s="111"/>
      <c r="F8" s="112"/>
      <c r="G8" s="113"/>
      <c r="H8" s="113"/>
      <c r="I8" s="113"/>
      <c r="J8" s="113"/>
      <c r="K8" s="113"/>
      <c r="L8" s="114"/>
      <c r="M8" s="229"/>
    </row>
    <row r="9" spans="1:54">
      <c r="A9" s="35"/>
      <c r="B9" s="152"/>
      <c r="C9" s="152"/>
      <c r="D9" s="153"/>
      <c r="E9" s="152"/>
      <c r="F9" s="154"/>
      <c r="G9" s="158"/>
      <c r="H9" s="158"/>
      <c r="I9" s="158"/>
      <c r="J9" s="158"/>
      <c r="K9" s="33"/>
      <c r="L9" s="33"/>
    </row>
    <row r="10" spans="1:54">
      <c r="A10" s="35"/>
      <c r="B10" s="48"/>
      <c r="C10" s="151"/>
      <c r="D10" s="47"/>
      <c r="E10" s="48"/>
      <c r="F10" s="155"/>
      <c r="G10" s="159"/>
      <c r="H10" s="157"/>
      <c r="I10" s="51"/>
      <c r="J10" s="51"/>
      <c r="K10" s="33"/>
      <c r="L10" s="33"/>
      <c r="M10" s="229"/>
    </row>
    <row r="11" spans="1:54">
      <c r="A11" s="35"/>
      <c r="B11" s="152"/>
      <c r="C11" s="152"/>
      <c r="D11" s="153"/>
      <c r="E11" s="152"/>
      <c r="F11" s="154"/>
      <c r="G11" s="158"/>
      <c r="H11" s="156"/>
      <c r="I11" s="39"/>
      <c r="J11" s="39"/>
      <c r="K11" s="33"/>
      <c r="L11" s="33"/>
    </row>
    <row r="12" spans="1:54" s="165" customFormat="1">
      <c r="A12" s="161"/>
      <c r="B12" s="161"/>
      <c r="C12" s="162"/>
      <c r="D12" s="161"/>
      <c r="E12" s="162"/>
      <c r="F12" s="163"/>
      <c r="G12" s="164"/>
      <c r="H12" s="164"/>
      <c r="I12" s="164"/>
      <c r="J12" s="164"/>
      <c r="K12" s="164"/>
      <c r="L12" s="164"/>
      <c r="M12" s="166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</row>
    <row r="13" spans="1:54">
      <c r="A13" s="47"/>
      <c r="B13" s="48"/>
      <c r="C13" s="48"/>
      <c r="D13" s="47"/>
      <c r="E13" s="48"/>
      <c r="F13" s="49"/>
      <c r="G13" s="50"/>
      <c r="H13" s="39"/>
      <c r="I13" s="39"/>
      <c r="J13" s="39"/>
      <c r="K13" s="50"/>
      <c r="L13" s="50"/>
    </row>
    <row r="14" spans="1:54">
      <c r="A14" s="30"/>
      <c r="B14" s="30"/>
      <c r="C14" s="31"/>
      <c r="D14" s="30"/>
      <c r="E14" s="31"/>
      <c r="F14" s="32"/>
      <c r="G14" s="33"/>
      <c r="H14" s="34"/>
      <c r="I14" s="34"/>
      <c r="J14" s="34"/>
      <c r="K14" s="33"/>
      <c r="L14" s="33"/>
    </row>
    <row r="15" spans="1:54">
      <c r="A15" s="30"/>
      <c r="B15" s="31"/>
      <c r="C15" s="31"/>
      <c r="D15" s="31"/>
      <c r="E15" s="31"/>
      <c r="F15" s="32"/>
      <c r="G15" s="33"/>
      <c r="H15" s="33"/>
      <c r="I15" s="33"/>
      <c r="J15" s="33"/>
      <c r="K15" s="33"/>
      <c r="L15" s="33"/>
    </row>
    <row r="16" spans="1:54">
      <c r="A16" s="30"/>
      <c r="B16" s="30"/>
      <c r="C16" s="31"/>
      <c r="D16" s="30"/>
      <c r="E16" s="31"/>
      <c r="F16" s="32"/>
      <c r="G16" s="33"/>
      <c r="H16" s="34"/>
      <c r="I16" s="34"/>
      <c r="J16" s="34"/>
      <c r="K16" s="33"/>
      <c r="L16" s="33"/>
    </row>
    <row r="17" spans="1:54">
      <c r="A17" s="35"/>
      <c r="B17" s="152"/>
      <c r="C17" s="152"/>
      <c r="D17" s="153"/>
      <c r="E17" s="152"/>
      <c r="F17" s="154"/>
      <c r="G17" s="158"/>
      <c r="H17" s="158"/>
      <c r="I17" s="158"/>
      <c r="J17" s="158"/>
      <c r="K17" s="33"/>
      <c r="L17" s="33"/>
    </row>
    <row r="18" spans="1:54">
      <c r="A18" s="35"/>
      <c r="B18" s="48"/>
      <c r="C18" s="151"/>
      <c r="D18" s="47"/>
      <c r="E18" s="48"/>
      <c r="F18" s="155"/>
      <c r="G18" s="159"/>
      <c r="H18" s="157"/>
      <c r="I18" s="51"/>
      <c r="J18" s="51"/>
      <c r="K18" s="33"/>
      <c r="L18" s="33"/>
      <c r="M18" s="229"/>
    </row>
    <row r="19" spans="1:54" ht="15" thickBot="1">
      <c r="A19" s="109"/>
      <c r="B19" s="110"/>
      <c r="C19" s="111"/>
      <c r="D19" s="110"/>
      <c r="E19" s="111"/>
      <c r="F19" s="112"/>
      <c r="G19" s="113"/>
      <c r="H19" s="113"/>
      <c r="I19" s="113"/>
      <c r="J19" s="113"/>
      <c r="K19" s="113"/>
      <c r="L19" s="114"/>
      <c r="M19" s="229"/>
    </row>
    <row r="20" spans="1:54" s="165" customFormat="1">
      <c r="A20" s="161"/>
      <c r="B20" s="161"/>
      <c r="C20" s="162"/>
      <c r="D20" s="161"/>
      <c r="E20" s="162"/>
      <c r="F20" s="163"/>
      <c r="G20" s="164"/>
      <c r="H20" s="164"/>
      <c r="I20" s="164"/>
      <c r="J20" s="164"/>
      <c r="K20" s="164"/>
      <c r="L20" s="164"/>
      <c r="M20" s="166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</row>
    <row r="21" spans="1:54">
      <c r="A21" s="66"/>
      <c r="B21" s="66"/>
      <c r="C21" s="67"/>
      <c r="D21" s="66"/>
      <c r="E21" s="67"/>
      <c r="F21" s="68"/>
      <c r="G21" s="34"/>
      <c r="H21" s="34"/>
      <c r="I21" s="34"/>
      <c r="J21" s="34"/>
      <c r="K21" s="34"/>
      <c r="L21" s="34"/>
    </row>
    <row r="22" spans="1:54" ht="15" thickBot="1">
      <c r="A22" s="109"/>
      <c r="B22" s="110"/>
      <c r="C22" s="111"/>
      <c r="D22" s="110"/>
      <c r="E22" s="111"/>
      <c r="F22" s="112"/>
      <c r="G22" s="113"/>
      <c r="H22" s="113"/>
      <c r="I22" s="113"/>
      <c r="J22" s="113"/>
      <c r="K22" s="113"/>
      <c r="L22" s="114"/>
      <c r="M22" s="114"/>
    </row>
    <row r="23" spans="1:54">
      <c r="A23" s="35"/>
      <c r="B23" s="152"/>
      <c r="C23" s="152"/>
      <c r="D23" s="153"/>
      <c r="E23" s="152"/>
      <c r="F23" s="154"/>
      <c r="G23" s="158"/>
      <c r="H23" s="158"/>
      <c r="I23" s="158"/>
      <c r="J23" s="158"/>
      <c r="K23" s="33"/>
      <c r="L23" s="33"/>
    </row>
    <row r="24" spans="1:54">
      <c r="A24" s="47"/>
      <c r="B24" s="48"/>
      <c r="C24" s="48"/>
      <c r="D24" s="47"/>
      <c r="E24" s="48"/>
      <c r="F24" s="49"/>
      <c r="G24" s="50"/>
      <c r="H24" s="39"/>
      <c r="I24" s="39"/>
      <c r="J24" s="39"/>
      <c r="K24" s="50"/>
      <c r="L24" s="50"/>
    </row>
    <row r="25" spans="1:54">
      <c r="A25" s="30"/>
      <c r="B25" s="31"/>
      <c r="C25" s="31"/>
      <c r="D25" s="31"/>
      <c r="E25" s="31"/>
      <c r="F25" s="32"/>
      <c r="G25" s="33"/>
      <c r="H25" s="33"/>
      <c r="I25" s="33"/>
      <c r="J25" s="33"/>
      <c r="K25" s="33"/>
      <c r="L25" s="33"/>
    </row>
    <row r="26" spans="1:54" s="165" customFormat="1">
      <c r="A26" s="161"/>
      <c r="B26" s="161"/>
      <c r="C26" s="162"/>
      <c r="D26" s="161"/>
      <c r="E26" s="162"/>
      <c r="F26" s="163"/>
      <c r="G26" s="164"/>
      <c r="H26" s="164"/>
      <c r="I26" s="164"/>
      <c r="J26" s="164"/>
      <c r="K26" s="164"/>
      <c r="L26" s="164"/>
      <c r="M26" s="166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</row>
    <row r="27" spans="1:54">
      <c r="A27" s="35"/>
      <c r="B27" s="152"/>
      <c r="C27" s="152"/>
      <c r="D27" s="153"/>
      <c r="E27" s="152"/>
      <c r="F27" s="154"/>
      <c r="G27" s="158"/>
      <c r="H27" s="158"/>
      <c r="I27" s="158"/>
      <c r="J27" s="158"/>
      <c r="K27" s="33"/>
      <c r="L27" s="33"/>
    </row>
    <row r="28" spans="1:54">
      <c r="A28" s="35"/>
      <c r="B28" s="48"/>
      <c r="C28" s="151"/>
      <c r="D28" s="47"/>
      <c r="E28" s="48"/>
      <c r="F28" s="155"/>
      <c r="G28" s="159"/>
      <c r="H28" s="157"/>
      <c r="I28" s="51"/>
      <c r="J28" s="51"/>
      <c r="K28" s="33"/>
      <c r="L28" s="33"/>
      <c r="M28" s="229"/>
    </row>
    <row r="29" spans="1:54">
      <c r="A29" s="35"/>
      <c r="B29" s="152"/>
      <c r="C29" s="152"/>
      <c r="D29" s="153"/>
      <c r="E29" s="152"/>
      <c r="F29" s="154"/>
      <c r="G29" s="158"/>
      <c r="H29" s="156"/>
      <c r="I29" s="39"/>
      <c r="J29" s="39"/>
      <c r="K29" s="33"/>
      <c r="L29" s="33"/>
    </row>
    <row r="30" spans="1:54" ht="15" thickBot="1">
      <c r="A30" s="109"/>
      <c r="B30" s="110"/>
      <c r="C30" s="111"/>
      <c r="D30" s="110"/>
      <c r="E30" s="111"/>
      <c r="F30" s="112"/>
      <c r="G30" s="113"/>
      <c r="H30" s="113"/>
      <c r="I30" s="113"/>
      <c r="J30" s="113"/>
      <c r="K30" s="113"/>
      <c r="L30" s="114"/>
      <c r="M30" s="114"/>
    </row>
    <row r="31" spans="1:54">
      <c r="A31" s="35"/>
      <c r="B31" s="226"/>
      <c r="C31" s="227"/>
      <c r="D31" s="150"/>
      <c r="E31" s="226"/>
      <c r="F31" s="155"/>
      <c r="G31" s="159"/>
      <c r="H31" s="157"/>
      <c r="I31" s="51"/>
      <c r="J31" s="51"/>
      <c r="K31" s="33"/>
      <c r="L31" s="33"/>
    </row>
    <row r="32" spans="1:54">
      <c r="A32" s="35"/>
      <c r="B32" s="226"/>
      <c r="C32" s="227"/>
      <c r="D32" s="150"/>
      <c r="E32" s="226"/>
      <c r="F32" s="155"/>
      <c r="G32" s="159"/>
      <c r="H32" s="157"/>
      <c r="I32" s="51"/>
      <c r="J32" s="51"/>
      <c r="K32" s="33"/>
      <c r="L32" s="33"/>
    </row>
    <row r="33" spans="1:12">
      <c r="A33" s="35"/>
      <c r="B33" s="226"/>
      <c r="C33" s="227"/>
      <c r="D33" s="150"/>
      <c r="E33" s="226"/>
      <c r="F33" s="155"/>
      <c r="G33" s="159"/>
      <c r="H33" s="157"/>
      <c r="I33" s="51"/>
      <c r="J33" s="51"/>
      <c r="K33" s="33"/>
      <c r="L33" s="33"/>
    </row>
    <row r="34" spans="1:12">
      <c r="A34" s="35"/>
      <c r="B34" s="226"/>
      <c r="C34" s="227"/>
      <c r="D34" s="150"/>
      <c r="E34" s="226"/>
      <c r="F34" s="155"/>
      <c r="G34" s="159"/>
      <c r="H34" s="157"/>
      <c r="I34" s="51"/>
      <c r="J34" s="51"/>
      <c r="K34" s="33"/>
      <c r="L34" s="33"/>
    </row>
    <row r="35" spans="1:12">
      <c r="A35" s="35"/>
      <c r="B35" s="226"/>
      <c r="C35" s="227"/>
      <c r="D35" s="150"/>
      <c r="E35" s="226"/>
      <c r="F35" s="155"/>
      <c r="G35" s="159"/>
      <c r="H35" s="157"/>
      <c r="I35" s="51"/>
      <c r="J35" s="51"/>
      <c r="K35" s="33"/>
      <c r="L35" s="33"/>
    </row>
    <row r="36" spans="1:12">
      <c r="A36" s="35"/>
      <c r="B36" s="226"/>
      <c r="C36" s="227"/>
      <c r="D36" s="150"/>
      <c r="E36" s="226"/>
      <c r="F36" s="155"/>
      <c r="G36" s="159"/>
      <c r="H36" s="157"/>
      <c r="I36" s="51"/>
      <c r="J36" s="51"/>
      <c r="K36" s="33"/>
      <c r="L36" s="33"/>
    </row>
    <row r="37" spans="1:12">
      <c r="A37" s="35"/>
      <c r="B37" s="226"/>
      <c r="C37" s="227"/>
      <c r="D37" s="150"/>
      <c r="E37" s="226"/>
      <c r="F37" s="155"/>
      <c r="G37" s="159"/>
      <c r="H37" s="157"/>
      <c r="I37" s="51"/>
      <c r="J37" s="51"/>
      <c r="K37" s="33"/>
      <c r="L37" s="33"/>
    </row>
    <row r="38" spans="1:12">
      <c r="A38" s="35"/>
      <c r="B38" s="226"/>
      <c r="C38" s="227"/>
      <c r="D38" s="150"/>
      <c r="E38" s="226"/>
      <c r="F38" s="155"/>
      <c r="G38" s="159"/>
      <c r="H38" s="157"/>
      <c r="I38" s="51"/>
      <c r="J38" s="51"/>
      <c r="K38" s="33"/>
      <c r="L38" s="33"/>
    </row>
    <row r="39" spans="1:12">
      <c r="A39" s="35"/>
      <c r="B39" s="226"/>
      <c r="C39" s="227"/>
      <c r="D39" s="150"/>
      <c r="E39" s="226"/>
      <c r="F39" s="155"/>
      <c r="G39" s="159"/>
      <c r="H39" s="157"/>
      <c r="I39" s="51"/>
      <c r="J39" s="51"/>
      <c r="K39" s="33"/>
      <c r="L39" s="33"/>
    </row>
    <row r="40" spans="1:12">
      <c r="A40" s="35"/>
      <c r="B40" s="226"/>
      <c r="C40" s="227"/>
      <c r="D40" s="150"/>
      <c r="E40" s="226"/>
      <c r="F40" s="155"/>
      <c r="G40" s="159"/>
      <c r="H40" s="157"/>
      <c r="I40" s="51"/>
      <c r="J40" s="51"/>
      <c r="K40" s="33"/>
      <c r="L40" s="33"/>
    </row>
    <row r="41" spans="1:12">
      <c r="A41" s="35"/>
      <c r="B41" s="226"/>
      <c r="C41" s="227"/>
      <c r="D41" s="150"/>
      <c r="E41" s="226"/>
      <c r="F41" s="155"/>
      <c r="G41" s="159"/>
      <c r="H41" s="157"/>
      <c r="I41" s="51"/>
      <c r="J41" s="51"/>
      <c r="K41" s="33"/>
      <c r="L41" s="33"/>
    </row>
    <row r="42" spans="1:12">
      <c r="A42" s="35"/>
      <c r="B42" s="226"/>
      <c r="C42" s="227"/>
      <c r="D42" s="150"/>
      <c r="E42" s="226"/>
      <c r="F42" s="155"/>
      <c r="G42" s="159"/>
      <c r="H42" s="157"/>
      <c r="I42" s="51"/>
      <c r="J42" s="51"/>
      <c r="K42" s="33"/>
      <c r="L42" s="33"/>
    </row>
    <row r="43" spans="1:12">
      <c r="A43" s="35"/>
      <c r="B43" s="226"/>
      <c r="C43" s="227"/>
      <c r="D43" s="150"/>
      <c r="E43" s="226"/>
      <c r="F43" s="155"/>
      <c r="G43" s="159"/>
      <c r="H43" s="157"/>
      <c r="I43" s="51"/>
      <c r="J43" s="51"/>
      <c r="K43" s="33"/>
      <c r="L43" s="33"/>
    </row>
    <row r="44" spans="1:12">
      <c r="A44" s="35"/>
      <c r="B44" s="226"/>
      <c r="C44" s="227"/>
      <c r="D44" s="150"/>
      <c r="E44" s="226"/>
      <c r="F44" s="155"/>
      <c r="G44" s="159"/>
      <c r="H44" s="157"/>
      <c r="I44" s="51"/>
      <c r="J44" s="51"/>
      <c r="K44" s="33"/>
      <c r="L44" s="33"/>
    </row>
    <row r="45" spans="1:12">
      <c r="A45" s="35"/>
      <c r="B45" s="226"/>
      <c r="C45" s="227"/>
      <c r="D45" s="150"/>
      <c r="E45" s="226"/>
      <c r="F45" s="155"/>
      <c r="G45" s="159"/>
      <c r="H45" s="157"/>
      <c r="I45" s="51"/>
      <c r="J45" s="51"/>
      <c r="K45" s="33"/>
      <c r="L45" s="33"/>
    </row>
    <row r="46" spans="1:12">
      <c r="A46" s="35"/>
      <c r="B46" s="226"/>
      <c r="C46" s="227"/>
      <c r="D46" s="150"/>
      <c r="E46" s="226"/>
      <c r="F46" s="155"/>
      <c r="G46" s="159"/>
      <c r="H46" s="157"/>
      <c r="I46" s="51"/>
      <c r="J46" s="51"/>
      <c r="K46" s="33"/>
      <c r="L46" s="33"/>
    </row>
    <row r="47" spans="1:12">
      <c r="A47" s="35"/>
      <c r="B47" s="226"/>
      <c r="C47" s="227"/>
      <c r="D47" s="150"/>
      <c r="E47" s="226"/>
      <c r="F47" s="155"/>
      <c r="G47" s="159"/>
      <c r="H47" s="157"/>
      <c r="I47" s="51"/>
      <c r="J47" s="51"/>
      <c r="K47" s="33"/>
      <c r="L47" s="33"/>
    </row>
    <row r="48" spans="1:12">
      <c r="A48" s="35"/>
      <c r="B48" s="226"/>
      <c r="C48" s="227"/>
      <c r="D48" s="150"/>
      <c r="E48" s="226"/>
      <c r="F48" s="155"/>
      <c r="G48" s="159"/>
      <c r="H48" s="157"/>
      <c r="I48" s="51"/>
      <c r="J48" s="51"/>
      <c r="K48" s="33"/>
      <c r="L48" s="33"/>
    </row>
    <row r="49" spans="1:12">
      <c r="A49" s="35"/>
      <c r="B49" s="226"/>
      <c r="C49" s="227"/>
      <c r="D49" s="150"/>
      <c r="E49" s="226"/>
      <c r="F49" s="155"/>
      <c r="G49" s="159"/>
      <c r="H49" s="157"/>
      <c r="I49" s="51"/>
      <c r="J49" s="51"/>
      <c r="K49" s="33"/>
      <c r="L49" s="33"/>
    </row>
    <row r="50" spans="1:12">
      <c r="A50" s="35"/>
      <c r="B50" s="226"/>
      <c r="C50" s="227"/>
      <c r="D50" s="150"/>
      <c r="E50" s="226"/>
      <c r="F50" s="155"/>
      <c r="G50" s="159"/>
      <c r="H50" s="157"/>
      <c r="I50" s="51"/>
      <c r="J50" s="51"/>
      <c r="K50" s="33"/>
      <c r="L50" s="33"/>
    </row>
    <row r="51" spans="1:12">
      <c r="A51" s="35"/>
      <c r="B51" s="226"/>
      <c r="C51" s="227"/>
      <c r="D51" s="150"/>
      <c r="E51" s="226"/>
      <c r="F51" s="155"/>
      <c r="G51" s="159"/>
      <c r="H51" s="157"/>
      <c r="I51" s="51"/>
      <c r="J51" s="51"/>
      <c r="K51" s="33"/>
      <c r="L51" s="33"/>
    </row>
    <row r="52" spans="1:12">
      <c r="A52" s="35"/>
      <c r="B52" s="226"/>
      <c r="C52" s="227"/>
      <c r="D52" s="150"/>
      <c r="E52" s="226"/>
      <c r="F52" s="155"/>
      <c r="G52" s="159"/>
      <c r="H52" s="157"/>
      <c r="I52" s="51"/>
      <c r="J52" s="51"/>
      <c r="K52" s="33"/>
      <c r="L52" s="33"/>
    </row>
    <row r="53" spans="1:12">
      <c r="A53" s="35"/>
      <c r="B53" s="226"/>
      <c r="C53" s="227"/>
      <c r="D53" s="150"/>
      <c r="E53" s="226"/>
      <c r="F53" s="155"/>
      <c r="G53" s="159"/>
      <c r="H53" s="157"/>
      <c r="I53" s="51"/>
      <c r="J53" s="51"/>
      <c r="K53" s="33"/>
      <c r="L53" s="33"/>
    </row>
    <row r="54" spans="1:12">
      <c r="A54" s="35"/>
      <c r="B54" s="226"/>
      <c r="C54" s="227"/>
      <c r="D54" s="150"/>
      <c r="E54" s="226"/>
      <c r="F54" s="155"/>
      <c r="G54" s="159"/>
      <c r="H54" s="157"/>
      <c r="I54" s="51"/>
      <c r="J54" s="51"/>
      <c r="K54" s="33"/>
      <c r="L54" s="33"/>
    </row>
    <row r="55" spans="1:12">
      <c r="A55" s="35"/>
      <c r="B55" s="226"/>
      <c r="C55" s="227"/>
      <c r="D55" s="150"/>
      <c r="E55" s="226"/>
      <c r="F55" s="155"/>
      <c r="G55" s="159"/>
      <c r="H55" s="157"/>
      <c r="I55" s="51"/>
      <c r="J55" s="51"/>
      <c r="K55" s="33"/>
      <c r="L55" s="33"/>
    </row>
    <row r="56" spans="1:12">
      <c r="A56" s="35"/>
      <c r="B56" s="226"/>
      <c r="C56" s="227"/>
      <c r="D56" s="150"/>
      <c r="E56" s="226"/>
      <c r="F56" s="155"/>
      <c r="G56" s="159"/>
      <c r="H56" s="157"/>
      <c r="I56" s="51"/>
      <c r="J56" s="51"/>
      <c r="K56" s="33"/>
      <c r="L56" s="33"/>
    </row>
    <row r="57" spans="1:12">
      <c r="A57" s="35"/>
      <c r="B57" s="226"/>
      <c r="C57" s="227"/>
      <c r="D57" s="150"/>
      <c r="E57" s="226"/>
      <c r="F57" s="155"/>
      <c r="G57" s="159"/>
      <c r="H57" s="157"/>
      <c r="I57" s="51"/>
      <c r="J57" s="51"/>
      <c r="K57" s="33"/>
      <c r="L57" s="33"/>
    </row>
    <row r="58" spans="1:12">
      <c r="A58" s="35"/>
      <c r="B58" s="226"/>
      <c r="C58" s="227"/>
      <c r="D58" s="150"/>
      <c r="E58" s="226"/>
      <c r="F58" s="155"/>
      <c r="G58" s="159"/>
      <c r="H58" s="157"/>
      <c r="I58" s="51"/>
      <c r="J58" s="51"/>
      <c r="K58" s="33"/>
      <c r="L58" s="33"/>
    </row>
    <row r="59" spans="1:12">
      <c r="A59" s="35"/>
      <c r="B59" s="226"/>
      <c r="C59" s="227"/>
      <c r="D59" s="150"/>
      <c r="E59" s="226"/>
      <c r="F59" s="155"/>
      <c r="G59" s="159"/>
      <c r="H59" s="157"/>
      <c r="I59" s="51"/>
      <c r="J59" s="51"/>
      <c r="K59" s="33"/>
      <c r="L59" s="33"/>
    </row>
    <row r="60" spans="1:12">
      <c r="A60" s="35"/>
      <c r="B60" s="226"/>
      <c r="C60" s="227"/>
      <c r="D60" s="150"/>
      <c r="E60" s="226"/>
      <c r="F60" s="155"/>
      <c r="G60" s="159"/>
      <c r="H60" s="157"/>
      <c r="I60" s="51"/>
      <c r="J60" s="51"/>
      <c r="K60" s="33"/>
      <c r="L60" s="33"/>
    </row>
    <row r="61" spans="1:12">
      <c r="A61" s="35"/>
      <c r="B61" s="226"/>
      <c r="C61" s="227"/>
      <c r="D61" s="150"/>
      <c r="E61" s="226"/>
      <c r="F61" s="155"/>
      <c r="G61" s="159"/>
      <c r="H61" s="157"/>
      <c r="I61" s="51"/>
      <c r="J61" s="51"/>
      <c r="K61" s="33"/>
      <c r="L61" s="33"/>
    </row>
    <row r="62" spans="1:12">
      <c r="A62" s="35"/>
      <c r="B62" s="226"/>
      <c r="C62" s="227"/>
      <c r="D62" s="150"/>
      <c r="E62" s="226"/>
      <c r="F62" s="155"/>
      <c r="G62" s="159"/>
      <c r="H62" s="157"/>
      <c r="I62" s="51"/>
      <c r="J62" s="51"/>
      <c r="K62" s="33"/>
      <c r="L62" s="33"/>
    </row>
    <row r="63" spans="1:12">
      <c r="A63" s="35">
        <v>45992</v>
      </c>
      <c r="B63" s="48" t="s">
        <v>41</v>
      </c>
      <c r="C63" s="151" t="s">
        <v>31</v>
      </c>
      <c r="D63" s="47" t="s">
        <v>33</v>
      </c>
      <c r="E63" s="48">
        <v>200</v>
      </c>
      <c r="F63" s="155" t="s">
        <v>181</v>
      </c>
      <c r="G63" s="159">
        <f>490*E63</f>
        <v>98000</v>
      </c>
      <c r="H63" s="157"/>
      <c r="I63" s="51"/>
      <c r="J63" s="51"/>
      <c r="K63" s="33">
        <f>G16+G63</f>
        <v>98000</v>
      </c>
      <c r="L63" s="33"/>
    </row>
    <row r="64" spans="1:12">
      <c r="A64" s="40">
        <v>45992</v>
      </c>
      <c r="B64" s="31" t="s">
        <v>41</v>
      </c>
      <c r="C64" s="42" t="s">
        <v>65</v>
      </c>
      <c r="D64" s="40" t="s">
        <v>112</v>
      </c>
      <c r="E64" s="42">
        <v>400</v>
      </c>
      <c r="F64" s="43" t="s">
        <v>182</v>
      </c>
      <c r="G64" s="33">
        <v>6470</v>
      </c>
      <c r="H64" s="44"/>
      <c r="I64" s="44"/>
      <c r="J64" s="44"/>
      <c r="K64" s="33"/>
      <c r="L64" s="50">
        <f>G64</f>
        <v>6470</v>
      </c>
    </row>
    <row r="65" spans="1:54">
      <c r="A65" s="47">
        <v>45995</v>
      </c>
      <c r="B65" s="48" t="s">
        <v>41</v>
      </c>
      <c r="C65" s="48" t="s">
        <v>32</v>
      </c>
      <c r="D65" s="47" t="s">
        <v>119</v>
      </c>
      <c r="E65" s="48">
        <v>1</v>
      </c>
      <c r="F65" s="49" t="s">
        <v>183</v>
      </c>
      <c r="G65" s="50">
        <v>44500</v>
      </c>
      <c r="H65" s="39"/>
      <c r="I65" s="39"/>
      <c r="J65" s="39"/>
      <c r="K65" s="50">
        <f>G65</f>
        <v>44500</v>
      </c>
      <c r="L65" s="50">
        <v>0</v>
      </c>
    </row>
    <row r="66" spans="1:54">
      <c r="A66" s="35">
        <v>46000</v>
      </c>
      <c r="B66" s="152" t="s">
        <v>41</v>
      </c>
      <c r="C66" s="152" t="s">
        <v>30</v>
      </c>
      <c r="D66" s="153" t="s">
        <v>33</v>
      </c>
      <c r="E66" s="152">
        <v>200</v>
      </c>
      <c r="F66" s="154" t="s">
        <v>180</v>
      </c>
      <c r="G66" s="158">
        <f>168.5*E66</f>
        <v>33700</v>
      </c>
      <c r="H66" s="156"/>
      <c r="I66" s="39"/>
      <c r="J66" s="39"/>
      <c r="K66" s="33">
        <f>G66</f>
        <v>33700</v>
      </c>
      <c r="L66" s="33"/>
    </row>
    <row r="67" spans="1:54" s="165" customFormat="1">
      <c r="A67" s="161">
        <v>46020</v>
      </c>
      <c r="B67" s="161" t="s">
        <v>41</v>
      </c>
      <c r="C67" s="162" t="s">
        <v>147</v>
      </c>
      <c r="D67" s="161" t="s">
        <v>147</v>
      </c>
      <c r="E67" s="162">
        <v>1</v>
      </c>
      <c r="F67" s="163" t="s">
        <v>184</v>
      </c>
      <c r="G67" s="164">
        <f>21827+2559.04+5121.07</f>
        <v>29507.11</v>
      </c>
      <c r="H67" s="164"/>
      <c r="I67" s="164"/>
      <c r="J67" s="164"/>
      <c r="K67" s="164">
        <v>0</v>
      </c>
      <c r="L67" s="164"/>
      <c r="M67" s="166">
        <f>G67</f>
        <v>29507.11</v>
      </c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</row>
    <row r="68" spans="1:54">
      <c r="A68" s="47">
        <v>46000</v>
      </c>
      <c r="B68" s="48" t="s">
        <v>41</v>
      </c>
      <c r="C68" s="48" t="s">
        <v>32</v>
      </c>
      <c r="D68" s="47" t="s">
        <v>119</v>
      </c>
      <c r="E68" s="48">
        <v>1</v>
      </c>
      <c r="F68" s="49" t="s">
        <v>183</v>
      </c>
      <c r="G68" s="50">
        <v>44200</v>
      </c>
      <c r="H68" s="39"/>
      <c r="I68" s="39"/>
      <c r="J68" s="39"/>
      <c r="K68" s="50">
        <f>G68</f>
        <v>44200</v>
      </c>
      <c r="L68" s="50">
        <v>0</v>
      </c>
    </row>
    <row r="69" spans="1:54" s="165" customFormat="1">
      <c r="A69" s="161">
        <v>46020</v>
      </c>
      <c r="B69" s="161" t="s">
        <v>41</v>
      </c>
      <c r="C69" s="162" t="s">
        <v>147</v>
      </c>
      <c r="D69" s="161" t="s">
        <v>147</v>
      </c>
      <c r="E69" s="162">
        <v>1</v>
      </c>
      <c r="F69" s="163" t="s">
        <v>185</v>
      </c>
      <c r="G69" s="164">
        <f>29688.3+5539.28+22900-9239.74</f>
        <v>48887.840000000004</v>
      </c>
      <c r="H69" s="164"/>
      <c r="I69" s="164"/>
      <c r="J69" s="164"/>
      <c r="K69" s="164">
        <v>0</v>
      </c>
      <c r="L69" s="164"/>
      <c r="M69" s="166">
        <f>G69</f>
        <v>48887.840000000004</v>
      </c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67"/>
      <c r="AU69" s="167"/>
      <c r="AV69" s="167"/>
      <c r="AW69" s="167"/>
      <c r="AX69" s="167"/>
      <c r="AY69" s="167"/>
      <c r="AZ69" s="167"/>
      <c r="BA69" s="167"/>
      <c r="BB69" s="167"/>
    </row>
    <row r="70" spans="1:54">
      <c r="A70" s="35">
        <v>46000</v>
      </c>
      <c r="B70" s="152" t="s">
        <v>41</v>
      </c>
      <c r="C70" s="152" t="s">
        <v>30</v>
      </c>
      <c r="D70" s="153" t="s">
        <v>33</v>
      </c>
      <c r="E70" s="152">
        <v>200</v>
      </c>
      <c r="F70" s="154" t="s">
        <v>186</v>
      </c>
      <c r="G70" s="158">
        <v>98000</v>
      </c>
      <c r="H70" s="156"/>
      <c r="I70" s="39"/>
      <c r="J70" s="39"/>
      <c r="K70" s="33">
        <f>G70</f>
        <v>98000</v>
      </c>
      <c r="L70" s="33"/>
    </row>
    <row r="71" spans="1:54">
      <c r="A71" s="30">
        <v>46004</v>
      </c>
      <c r="B71" s="30" t="s">
        <v>41</v>
      </c>
      <c r="C71" s="31" t="s">
        <v>26</v>
      </c>
      <c r="D71" s="30" t="s">
        <v>42</v>
      </c>
      <c r="E71" s="31">
        <v>1</v>
      </c>
      <c r="F71" s="32" t="s">
        <v>143</v>
      </c>
      <c r="G71" s="33">
        <v>15000</v>
      </c>
      <c r="H71" s="34"/>
      <c r="I71" s="34"/>
      <c r="J71" s="34"/>
      <c r="K71" s="33"/>
      <c r="L71" s="33">
        <f>G71</f>
        <v>15000</v>
      </c>
    </row>
    <row r="72" spans="1:54">
      <c r="A72" s="35">
        <v>46007</v>
      </c>
      <c r="B72" s="152" t="s">
        <v>41</v>
      </c>
      <c r="C72" s="152" t="s">
        <v>30</v>
      </c>
      <c r="D72" s="153" t="s">
        <v>33</v>
      </c>
      <c r="E72" s="152">
        <v>200</v>
      </c>
      <c r="F72" s="154" t="s">
        <v>180</v>
      </c>
      <c r="G72" s="158">
        <f>168.5*E72</f>
        <v>33700</v>
      </c>
      <c r="H72" s="156"/>
      <c r="I72" s="39"/>
      <c r="J72" s="39"/>
      <c r="K72" s="33"/>
      <c r="L72" s="33"/>
    </row>
    <row r="73" spans="1:54">
      <c r="A73" s="35">
        <v>46007</v>
      </c>
      <c r="B73" s="48" t="s">
        <v>41</v>
      </c>
      <c r="C73" s="151" t="s">
        <v>31</v>
      </c>
      <c r="D73" s="47" t="s">
        <v>33</v>
      </c>
      <c r="E73" s="48">
        <v>100</v>
      </c>
      <c r="F73" s="155" t="s">
        <v>187</v>
      </c>
      <c r="G73" s="159">
        <v>24500</v>
      </c>
      <c r="H73" s="157"/>
      <c r="I73" s="51"/>
      <c r="J73" s="51"/>
      <c r="K73" s="33">
        <f>G72+G73</f>
        <v>58200</v>
      </c>
      <c r="L73" s="33"/>
    </row>
    <row r="74" spans="1:54">
      <c r="A74" s="47">
        <v>46010</v>
      </c>
      <c r="B74" s="48" t="s">
        <v>41</v>
      </c>
      <c r="C74" s="48" t="s">
        <v>32</v>
      </c>
      <c r="D74" s="47" t="s">
        <v>47</v>
      </c>
      <c r="E74" s="48">
        <v>2</v>
      </c>
      <c r="F74" s="49" t="s">
        <v>188</v>
      </c>
      <c r="G74" s="50">
        <f>25500*2</f>
        <v>51000</v>
      </c>
      <c r="H74" s="39"/>
      <c r="I74" s="39"/>
      <c r="J74" s="39"/>
      <c r="K74" s="50">
        <f>G74</f>
        <v>51000</v>
      </c>
      <c r="L74" s="50">
        <v>0</v>
      </c>
    </row>
    <row r="75" spans="1:54" s="165" customFormat="1">
      <c r="A75" s="161">
        <v>46010</v>
      </c>
      <c r="B75" s="161" t="s">
        <v>41</v>
      </c>
      <c r="C75" s="162" t="s">
        <v>147</v>
      </c>
      <c r="D75" s="161" t="s">
        <v>147</v>
      </c>
      <c r="E75" s="162">
        <v>1</v>
      </c>
      <c r="F75" s="163" t="s">
        <v>189</v>
      </c>
      <c r="G75" s="164">
        <f>31961.12+6711.84</f>
        <v>38672.959999999999</v>
      </c>
      <c r="H75" s="164"/>
      <c r="I75" s="164"/>
      <c r="J75" s="164"/>
      <c r="K75" s="164">
        <v>0</v>
      </c>
      <c r="L75" s="164"/>
      <c r="M75" s="166">
        <f>G75</f>
        <v>38672.959999999999</v>
      </c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</row>
    <row r="76" spans="1:54">
      <c r="A76" s="30">
        <v>45941</v>
      </c>
      <c r="B76" s="31" t="s">
        <v>41</v>
      </c>
      <c r="C76" s="31" t="s">
        <v>46</v>
      </c>
      <c r="D76" s="31" t="s">
        <v>56</v>
      </c>
      <c r="E76" s="31">
        <v>1</v>
      </c>
      <c r="F76" s="32" t="s">
        <v>162</v>
      </c>
      <c r="G76" s="33">
        <v>44580.74</v>
      </c>
      <c r="H76" s="33"/>
      <c r="I76" s="33"/>
      <c r="J76" s="33"/>
      <c r="K76" s="33"/>
      <c r="L76" s="33">
        <f>G76</f>
        <v>44580.74</v>
      </c>
    </row>
    <row r="77" spans="1:54">
      <c r="A77" s="30">
        <v>46011</v>
      </c>
      <c r="B77" s="42" t="s">
        <v>41</v>
      </c>
      <c r="C77" s="31" t="s">
        <v>38</v>
      </c>
      <c r="D77" s="30" t="s">
        <v>132</v>
      </c>
      <c r="E77" s="31">
        <v>2</v>
      </c>
      <c r="F77" s="32" t="s">
        <v>190</v>
      </c>
      <c r="G77" s="33">
        <f>9000*2</f>
        <v>18000</v>
      </c>
      <c r="H77" s="34"/>
      <c r="I77" s="34"/>
      <c r="J77" s="34"/>
      <c r="K77" s="33">
        <f>G77</f>
        <v>18000</v>
      </c>
      <c r="L77" s="33"/>
    </row>
    <row r="78" spans="1:54">
      <c r="A78" s="30">
        <v>46012</v>
      </c>
      <c r="B78" s="31" t="s">
        <v>41</v>
      </c>
      <c r="C78" s="31" t="s">
        <v>58</v>
      </c>
      <c r="D78" s="31" t="s">
        <v>59</v>
      </c>
      <c r="E78" s="31"/>
      <c r="F78" s="32" t="s">
        <v>165</v>
      </c>
      <c r="G78" s="33">
        <v>16000</v>
      </c>
      <c r="H78" s="33"/>
      <c r="I78" s="33"/>
      <c r="J78" s="33"/>
      <c r="K78" s="33">
        <f>G78</f>
        <v>16000</v>
      </c>
      <c r="L78" s="33"/>
    </row>
    <row r="79" spans="1:54">
      <c r="A79" s="35">
        <v>45992</v>
      </c>
      <c r="B79" s="152" t="s">
        <v>41</v>
      </c>
      <c r="C79" s="152" t="s">
        <v>30</v>
      </c>
      <c r="D79" s="153" t="s">
        <v>33</v>
      </c>
      <c r="E79" s="152">
        <v>200</v>
      </c>
      <c r="F79" s="154" t="s">
        <v>180</v>
      </c>
      <c r="G79" s="158">
        <f>168.5*E79</f>
        <v>33700</v>
      </c>
      <c r="H79" s="156"/>
      <c r="I79" s="39"/>
      <c r="J79" s="39"/>
      <c r="K79" s="33"/>
      <c r="L79" s="33"/>
    </row>
    <row r="80" spans="1:54">
      <c r="A80" s="35">
        <v>45992</v>
      </c>
      <c r="B80" s="48" t="s">
        <v>41</v>
      </c>
      <c r="C80" s="151" t="s">
        <v>31</v>
      </c>
      <c r="D80" s="47" t="s">
        <v>33</v>
      </c>
      <c r="E80" s="48">
        <v>100</v>
      </c>
      <c r="F80" s="155" t="s">
        <v>187</v>
      </c>
      <c r="G80" s="159">
        <v>24500</v>
      </c>
      <c r="H80" s="157"/>
      <c r="I80" s="51"/>
      <c r="J80" s="51"/>
      <c r="K80" s="33">
        <f>G79+G80</f>
        <v>58200</v>
      </c>
      <c r="L80" s="33"/>
    </row>
    <row r="81" spans="1:54" s="165" customFormat="1" ht="15" thickBot="1">
      <c r="A81" s="161">
        <v>46017</v>
      </c>
      <c r="B81" s="161" t="s">
        <v>41</v>
      </c>
      <c r="C81" s="162" t="s">
        <v>147</v>
      </c>
      <c r="D81" s="161" t="s">
        <v>147</v>
      </c>
      <c r="E81" s="162">
        <v>1</v>
      </c>
      <c r="F81" s="163" t="s">
        <v>191</v>
      </c>
      <c r="G81" s="164">
        <f>62064.57+12576.59+58700-2176.06</f>
        <v>131165.1</v>
      </c>
      <c r="H81" s="164"/>
      <c r="I81" s="164"/>
      <c r="J81" s="164"/>
      <c r="K81" s="164">
        <v>0</v>
      </c>
      <c r="L81" s="164"/>
      <c r="M81" s="166">
        <f>G81</f>
        <v>131165.1</v>
      </c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67"/>
      <c r="AU81" s="167"/>
      <c r="AV81" s="167"/>
      <c r="AW81" s="167"/>
      <c r="AX81" s="167"/>
      <c r="AY81" s="167"/>
      <c r="AZ81" s="167"/>
      <c r="BA81" s="167"/>
      <c r="BB81" s="167"/>
    </row>
    <row r="82" spans="1:54">
      <c r="A82" s="103">
        <v>45945</v>
      </c>
      <c r="B82" s="104" t="s">
        <v>41</v>
      </c>
      <c r="C82" s="105" t="s">
        <v>88</v>
      </c>
      <c r="D82" s="104" t="s">
        <v>89</v>
      </c>
      <c r="E82" s="105"/>
      <c r="F82" s="106" t="s">
        <v>156</v>
      </c>
      <c r="G82" s="107">
        <v>450000</v>
      </c>
      <c r="H82" s="107"/>
      <c r="I82" s="107"/>
      <c r="J82" s="107"/>
      <c r="K82" s="107">
        <v>183000</v>
      </c>
      <c r="L82" s="108"/>
      <c r="M82" s="131">
        <f>G82-K82</f>
        <v>267000</v>
      </c>
      <c r="N82" s="131"/>
    </row>
    <row r="83" spans="1:54" ht="15" thickBot="1">
      <c r="A83" s="109">
        <v>45945</v>
      </c>
      <c r="B83" s="110" t="s">
        <v>41</v>
      </c>
      <c r="C83" s="111" t="s">
        <v>88</v>
      </c>
      <c r="D83" s="110" t="s">
        <v>91</v>
      </c>
      <c r="E83" s="111"/>
      <c r="F83" s="112" t="s">
        <v>157</v>
      </c>
      <c r="G83" s="113">
        <v>450000</v>
      </c>
      <c r="H83" s="113"/>
      <c r="I83" s="113"/>
      <c r="J83" s="113"/>
      <c r="K83" s="113">
        <v>100000</v>
      </c>
      <c r="L83" s="114">
        <v>290000</v>
      </c>
      <c r="M83" s="131">
        <f>G83-K83-L83</f>
        <v>60000</v>
      </c>
    </row>
    <row r="84" spans="1:54">
      <c r="A84" s="47"/>
      <c r="B84" s="48"/>
      <c r="C84" s="31"/>
      <c r="D84" s="30"/>
      <c r="E84" s="31"/>
      <c r="F84" s="32"/>
      <c r="G84" s="50"/>
      <c r="H84" s="39"/>
      <c r="I84" s="39"/>
      <c r="J84" s="39"/>
      <c r="K84" s="50">
        <f>G84</f>
        <v>0</v>
      </c>
      <c r="L84" s="50"/>
    </row>
    <row r="85" spans="1:54">
      <c r="A85" s="47"/>
      <c r="B85" s="48"/>
      <c r="C85" s="31"/>
      <c r="D85" s="30"/>
      <c r="E85" s="31"/>
      <c r="F85" s="32"/>
      <c r="G85" s="50"/>
      <c r="H85" s="39"/>
      <c r="I85" s="39"/>
      <c r="J85" s="39"/>
      <c r="K85" s="50"/>
      <c r="L85" s="50"/>
    </row>
    <row r="86" spans="1:54">
      <c r="A86" s="47"/>
      <c r="B86" s="48"/>
      <c r="C86" s="31"/>
      <c r="D86" s="30"/>
      <c r="E86" s="31"/>
      <c r="F86" s="32"/>
      <c r="G86" s="131">
        <f>G16+G63+G64+G65+G66+G67+G68+G69+G70+G71+G72+G73+G74+G75+G76+G77+G78+G79+G80+G81</f>
        <v>834083.74999999988</v>
      </c>
      <c r="H86" s="39"/>
      <c r="I86" s="39"/>
      <c r="J86" s="39"/>
      <c r="K86" s="50"/>
      <c r="L86" s="50"/>
      <c r="M86" s="131"/>
    </row>
    <row r="87" spans="1:54">
      <c r="A87" s="47"/>
      <c r="B87" s="48"/>
      <c r="C87" s="31"/>
      <c r="D87" s="30"/>
      <c r="E87" s="31"/>
      <c r="F87" s="32"/>
      <c r="G87" s="50"/>
      <c r="H87" s="39"/>
      <c r="I87" s="39"/>
      <c r="J87" s="39"/>
      <c r="K87" s="50"/>
      <c r="L87" s="50"/>
    </row>
    <row r="88" spans="1:54">
      <c r="A88" s="47"/>
      <c r="B88" s="48"/>
      <c r="C88" s="31"/>
      <c r="D88" s="30"/>
      <c r="E88" s="31"/>
      <c r="F88" s="32"/>
      <c r="G88" s="50"/>
      <c r="H88" s="39"/>
      <c r="I88" s="39"/>
      <c r="J88" s="39"/>
      <c r="K88" s="50"/>
      <c r="L88" s="50"/>
    </row>
    <row r="89" spans="1:54">
      <c r="A89" s="47"/>
      <c r="B89" s="48"/>
      <c r="C89" s="31"/>
      <c r="D89" s="30"/>
      <c r="E89" s="31"/>
      <c r="F89" s="32"/>
      <c r="G89" s="50"/>
      <c r="H89" s="39"/>
      <c r="I89" s="39"/>
      <c r="J89" s="39"/>
      <c r="K89" s="50"/>
      <c r="L89" s="50"/>
    </row>
    <row r="90" spans="1:54">
      <c r="A90" s="47"/>
      <c r="B90" s="48"/>
      <c r="C90" s="31"/>
      <c r="D90" s="30"/>
      <c r="E90" s="31"/>
      <c r="F90" s="32"/>
      <c r="G90" s="50"/>
      <c r="H90" s="39"/>
      <c r="I90" s="39"/>
      <c r="J90" s="39"/>
      <c r="K90" s="50"/>
      <c r="L90" s="50"/>
    </row>
    <row r="91" spans="1:54" s="165" customFormat="1">
      <c r="A91" s="161"/>
      <c r="B91" s="161"/>
      <c r="C91" s="162"/>
      <c r="D91" s="161"/>
      <c r="E91" s="162"/>
      <c r="F91" s="163"/>
      <c r="G91" s="164"/>
      <c r="H91" s="164"/>
      <c r="I91" s="164"/>
      <c r="J91" s="164"/>
      <c r="K91" s="164"/>
      <c r="L91" s="164"/>
      <c r="M91" s="166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67"/>
      <c r="AU91" s="167"/>
      <c r="AV91" s="167"/>
      <c r="AW91" s="167"/>
      <c r="AX91" s="167"/>
      <c r="AY91" s="167"/>
      <c r="AZ91" s="167"/>
      <c r="BA91" s="167"/>
      <c r="BB91" s="167"/>
    </row>
    <row r="92" spans="1:54" ht="15" thickBot="1">
      <c r="A92" s="35"/>
      <c r="B92" s="152"/>
      <c r="C92" s="152"/>
      <c r="D92" s="153"/>
      <c r="E92" s="152"/>
      <c r="F92" s="154"/>
      <c r="G92" s="158"/>
      <c r="H92" s="156"/>
      <c r="I92" s="39"/>
      <c r="J92" s="39"/>
      <c r="K92" s="33"/>
      <c r="L92" s="33"/>
    </row>
    <row r="93" spans="1:54">
      <c r="A93" s="103"/>
      <c r="B93" s="104"/>
      <c r="C93" s="105"/>
      <c r="D93" s="104"/>
      <c r="E93" s="105"/>
      <c r="F93" s="106"/>
      <c r="G93" s="107"/>
      <c r="H93" s="107"/>
      <c r="I93" s="107"/>
      <c r="J93" s="107"/>
      <c r="K93" s="107"/>
      <c r="L93" s="108"/>
      <c r="M93" s="205"/>
    </row>
    <row r="94" spans="1:54" ht="15" thickBot="1">
      <c r="A94" s="109"/>
      <c r="B94" s="110"/>
      <c r="C94" s="111"/>
      <c r="D94" s="110"/>
      <c r="E94" s="111"/>
      <c r="F94" s="112"/>
      <c r="G94" s="113"/>
      <c r="H94" s="113"/>
      <c r="I94" s="113"/>
      <c r="J94" s="113"/>
      <c r="K94" s="113"/>
      <c r="L94" s="114"/>
      <c r="M94" s="206"/>
    </row>
    <row r="95" spans="1:54">
      <c r="A95" s="30"/>
      <c r="B95" s="30"/>
      <c r="C95" s="31"/>
      <c r="D95" s="30"/>
      <c r="E95" s="31"/>
      <c r="F95" s="32"/>
      <c r="G95" s="33"/>
      <c r="H95" s="34"/>
      <c r="I95" s="34"/>
      <c r="J95" s="34"/>
      <c r="K95" s="33"/>
      <c r="L95" s="33"/>
    </row>
    <row r="96" spans="1:54" s="165" customFormat="1">
      <c r="A96" s="161"/>
      <c r="B96" s="161"/>
      <c r="C96" s="162"/>
      <c r="D96" s="161"/>
      <c r="E96" s="162"/>
      <c r="F96" s="163"/>
      <c r="G96" s="164"/>
      <c r="H96" s="164"/>
      <c r="I96" s="164"/>
      <c r="J96" s="164"/>
      <c r="K96" s="164"/>
      <c r="L96" s="164"/>
      <c r="M96" s="166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</row>
    <row r="97" spans="1:54">
      <c r="A97" s="35"/>
      <c r="B97" s="152"/>
      <c r="C97" s="152"/>
      <c r="D97" s="153"/>
      <c r="E97" s="152"/>
      <c r="F97" s="154"/>
      <c r="G97" s="158"/>
      <c r="H97" s="156"/>
      <c r="I97" s="39"/>
      <c r="J97" s="39"/>
      <c r="K97" s="33"/>
      <c r="L97" s="33"/>
    </row>
    <row r="98" spans="1:54">
      <c r="A98" s="35"/>
      <c r="B98" s="48"/>
      <c r="C98" s="151"/>
      <c r="D98" s="47"/>
      <c r="E98" s="48"/>
      <c r="F98" s="155"/>
      <c r="G98" s="159"/>
      <c r="H98" s="157"/>
      <c r="I98" s="51"/>
      <c r="J98" s="51"/>
      <c r="K98" s="33"/>
      <c r="L98" s="33"/>
    </row>
    <row r="99" spans="1:54">
      <c r="A99" s="35"/>
      <c r="B99" s="48"/>
      <c r="C99" s="151"/>
      <c r="D99" s="47"/>
      <c r="E99" s="48"/>
      <c r="F99" s="155"/>
      <c r="G99" s="159"/>
      <c r="H99" s="157"/>
      <c r="I99" s="51"/>
      <c r="J99" s="51"/>
      <c r="K99" s="33"/>
      <c r="L99" s="33"/>
    </row>
    <row r="100" spans="1:54">
      <c r="A100" s="40"/>
      <c r="B100" s="31"/>
      <c r="C100" s="42"/>
      <c r="D100" s="40"/>
      <c r="E100" s="42"/>
      <c r="F100" s="43"/>
      <c r="G100" s="33"/>
      <c r="H100" s="44"/>
      <c r="I100" s="44"/>
      <c r="J100" s="44"/>
      <c r="K100" s="33"/>
      <c r="L100" s="50"/>
    </row>
    <row r="101" spans="1:54">
      <c r="A101" s="30"/>
      <c r="B101" s="31"/>
      <c r="C101" s="31"/>
      <c r="D101" s="31"/>
      <c r="E101" s="31"/>
      <c r="F101" s="32"/>
      <c r="G101" s="33"/>
      <c r="H101" s="33"/>
      <c r="I101" s="33"/>
      <c r="J101" s="33"/>
      <c r="K101" s="33"/>
      <c r="L101" s="33"/>
    </row>
    <row r="102" spans="1:54">
      <c r="A102" s="30"/>
      <c r="B102" s="30"/>
      <c r="C102" s="31"/>
      <c r="D102" s="30"/>
      <c r="E102" s="31"/>
      <c r="F102" s="32"/>
      <c r="G102" s="33"/>
      <c r="H102" s="34"/>
      <c r="I102" s="34"/>
      <c r="J102" s="34"/>
      <c r="K102" s="33"/>
      <c r="L102" s="33"/>
    </row>
    <row r="103" spans="1:54">
      <c r="A103" s="47"/>
      <c r="B103" s="48"/>
      <c r="C103" s="31"/>
      <c r="D103" s="30"/>
      <c r="E103" s="31"/>
      <c r="F103" s="32"/>
      <c r="G103" s="50"/>
      <c r="H103" s="39"/>
      <c r="I103" s="39"/>
      <c r="J103" s="39"/>
      <c r="K103" s="33"/>
      <c r="L103" s="50"/>
      <c r="M103" s="131"/>
    </row>
    <row r="104" spans="1:54" s="165" customFormat="1">
      <c r="A104" s="161"/>
      <c r="B104" s="161"/>
      <c r="C104" s="162"/>
      <c r="D104" s="161"/>
      <c r="E104" s="162"/>
      <c r="F104" s="163"/>
      <c r="G104" s="164"/>
      <c r="H104" s="164"/>
      <c r="I104" s="164"/>
      <c r="J104" s="164"/>
      <c r="K104" s="164"/>
      <c r="L104" s="164"/>
      <c r="M104" s="166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  <c r="AP104" s="167"/>
      <c r="AQ104" s="167"/>
      <c r="AR104" s="167"/>
      <c r="AS104" s="167"/>
      <c r="AT104" s="167"/>
      <c r="AU104" s="167"/>
      <c r="AV104" s="167"/>
      <c r="AW104" s="167"/>
      <c r="AX104" s="167"/>
      <c r="AY104" s="167"/>
      <c r="AZ104" s="167"/>
      <c r="BA104" s="167"/>
      <c r="BB104" s="167"/>
    </row>
    <row r="105" spans="1:54">
      <c r="A105" s="30"/>
      <c r="B105" s="31"/>
      <c r="C105" s="31"/>
      <c r="D105" s="31"/>
      <c r="E105" s="31"/>
      <c r="F105" s="32"/>
      <c r="G105" s="33"/>
      <c r="H105" s="33"/>
      <c r="I105" s="33"/>
      <c r="J105" s="33"/>
      <c r="K105" s="33"/>
      <c r="L105" s="33"/>
    </row>
    <row r="106" spans="1:54">
      <c r="A106" s="40"/>
      <c r="B106" s="31"/>
      <c r="C106" s="42"/>
      <c r="D106" s="40"/>
      <c r="E106" s="42"/>
      <c r="F106" s="43"/>
      <c r="G106" s="33"/>
      <c r="H106" s="44"/>
      <c r="I106" s="44"/>
      <c r="J106" s="44"/>
      <c r="K106" s="33"/>
      <c r="L106" s="50"/>
    </row>
    <row r="107" spans="1:54">
      <c r="A107" s="40"/>
      <c r="B107" s="31"/>
      <c r="C107" s="42"/>
      <c r="D107" s="40"/>
      <c r="E107" s="42"/>
      <c r="F107" s="43"/>
      <c r="G107" s="33"/>
      <c r="H107" s="44"/>
      <c r="I107" s="44"/>
      <c r="J107" s="44"/>
      <c r="K107" s="33"/>
      <c r="L107" s="40"/>
    </row>
    <row r="108" spans="1:54">
      <c r="A108" s="47"/>
      <c r="B108" s="48"/>
      <c r="C108" s="31"/>
      <c r="D108" s="30"/>
      <c r="E108" s="31"/>
      <c r="F108" s="32"/>
      <c r="G108" s="50"/>
      <c r="H108" s="39"/>
      <c r="I108" s="39"/>
      <c r="J108" s="39"/>
      <c r="K108" s="50"/>
      <c r="L108" s="50"/>
    </row>
    <row r="109" spans="1:54" s="165" customFormat="1">
      <c r="A109" s="161"/>
      <c r="B109" s="161"/>
      <c r="C109" s="162"/>
      <c r="D109" s="161"/>
      <c r="E109" s="162"/>
      <c r="F109" s="163"/>
      <c r="G109" s="164"/>
      <c r="H109" s="164"/>
      <c r="I109" s="164"/>
      <c r="J109" s="164"/>
      <c r="K109" s="164"/>
      <c r="L109" s="164"/>
      <c r="M109" s="166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167"/>
      <c r="AY109" s="167"/>
      <c r="AZ109" s="167"/>
      <c r="BA109" s="167"/>
      <c r="BB109" s="167"/>
    </row>
    <row r="110" spans="1:54">
      <c r="A110" s="35"/>
      <c r="B110" s="152"/>
      <c r="C110" s="152"/>
      <c r="D110" s="153"/>
      <c r="E110" s="152"/>
      <c r="F110" s="154"/>
      <c r="G110" s="158"/>
      <c r="H110" s="156"/>
      <c r="I110" s="39"/>
      <c r="J110" s="39"/>
      <c r="K110" s="33"/>
      <c r="L110" s="33"/>
    </row>
    <row r="111" spans="1:54" ht="15" thickBot="1">
      <c r="A111" s="35"/>
      <c r="B111" s="152"/>
      <c r="C111" s="152"/>
      <c r="D111" s="153"/>
      <c r="E111" s="152"/>
      <c r="F111" s="154"/>
      <c r="G111" s="158"/>
      <c r="H111" s="156"/>
      <c r="I111" s="39"/>
      <c r="J111" s="39"/>
      <c r="K111" s="33"/>
      <c r="L111" s="33"/>
    </row>
    <row r="112" spans="1:54">
      <c r="A112" s="103"/>
      <c r="B112" s="104"/>
      <c r="C112" s="105"/>
      <c r="D112" s="104"/>
      <c r="E112" s="105"/>
      <c r="F112" s="106"/>
      <c r="G112" s="107"/>
      <c r="H112" s="107"/>
      <c r="I112" s="107"/>
      <c r="J112" s="107"/>
      <c r="K112" s="107"/>
      <c r="L112" s="108"/>
      <c r="M112" s="205"/>
    </row>
    <row r="113" spans="1:13" ht="15" thickBot="1">
      <c r="A113" s="109"/>
      <c r="B113" s="110"/>
      <c r="C113" s="111"/>
      <c r="D113" s="110"/>
      <c r="E113" s="111"/>
      <c r="F113" s="112"/>
      <c r="G113" s="113"/>
      <c r="H113" s="113"/>
      <c r="I113" s="113"/>
      <c r="J113" s="113"/>
      <c r="K113" s="113"/>
      <c r="L113" s="114"/>
      <c r="M113" s="206"/>
    </row>
    <row r="114" spans="1:13" s="190" customFormat="1">
      <c r="A114" s="186"/>
      <c r="B114" s="186"/>
      <c r="C114" s="186"/>
      <c r="D114" s="186"/>
      <c r="E114" s="186"/>
      <c r="F114" s="186"/>
      <c r="G114" s="186"/>
      <c r="H114" s="187"/>
      <c r="I114" s="187"/>
      <c r="J114" s="187"/>
      <c r="K114" s="188"/>
      <c r="L114" s="187"/>
      <c r="M114" s="200"/>
    </row>
    <row r="115" spans="1:13" s="190" customFormat="1">
      <c r="A115" s="186"/>
      <c r="B115" s="186"/>
      <c r="C115" s="186"/>
      <c r="D115" s="186"/>
      <c r="E115" s="186"/>
      <c r="F115" s="186"/>
      <c r="G115" s="186"/>
      <c r="H115" s="187"/>
      <c r="I115" s="187"/>
      <c r="J115" s="187"/>
      <c r="K115" s="188"/>
      <c r="L115" s="191"/>
      <c r="M115" s="200"/>
    </row>
    <row r="116" spans="1:13" s="190" customFormat="1">
      <c r="A116" s="186"/>
      <c r="B116" s="186"/>
      <c r="C116" s="186"/>
      <c r="D116" s="186"/>
      <c r="E116" s="186"/>
      <c r="F116" s="186"/>
      <c r="G116" s="186"/>
      <c r="H116" s="187"/>
      <c r="I116" s="187"/>
      <c r="J116" s="187"/>
      <c r="K116" s="188"/>
      <c r="L116" s="191"/>
      <c r="M116" s="189"/>
    </row>
    <row r="117" spans="1:13" s="190" customFormat="1">
      <c r="A117" s="186"/>
      <c r="B117" s="186"/>
      <c r="C117" s="186"/>
      <c r="D117" s="186"/>
      <c r="E117" s="186"/>
      <c r="F117" s="186"/>
      <c r="G117" s="186"/>
      <c r="H117" s="187"/>
      <c r="I117" s="187"/>
      <c r="J117" s="187"/>
      <c r="K117" s="188"/>
      <c r="L117" s="191"/>
      <c r="M117" s="189"/>
    </row>
    <row r="118" spans="1:13" s="190" customFormat="1">
      <c r="A118" s="186"/>
      <c r="B118" s="186"/>
      <c r="C118" s="186"/>
      <c r="D118" s="186"/>
      <c r="E118" s="186"/>
      <c r="F118" s="186"/>
      <c r="G118" s="186"/>
      <c r="H118" s="187"/>
      <c r="I118" s="187"/>
      <c r="J118" s="187"/>
      <c r="K118" s="188"/>
      <c r="L118" s="191"/>
      <c r="M118" s="189"/>
    </row>
    <row r="119" spans="1:13" s="190" customFormat="1">
      <c r="A119" s="186"/>
      <c r="B119" s="186"/>
      <c r="C119" s="186"/>
      <c r="D119" s="186"/>
      <c r="E119" s="186"/>
      <c r="F119" s="186"/>
      <c r="G119" s="186"/>
      <c r="H119" s="187"/>
      <c r="I119" s="187"/>
      <c r="J119" s="187"/>
      <c r="K119" s="188"/>
      <c r="L119" s="191"/>
      <c r="M119" s="189"/>
    </row>
    <row r="120" spans="1:13" s="190" customFormat="1">
      <c r="A120" s="186"/>
      <c r="B120" s="186"/>
      <c r="C120" s="186"/>
      <c r="D120" s="186"/>
      <c r="E120" s="186"/>
      <c r="F120" s="186"/>
      <c r="G120" s="186"/>
      <c r="H120" s="187"/>
      <c r="I120" s="187"/>
      <c r="J120" s="187"/>
      <c r="K120" s="188"/>
      <c r="L120" s="191"/>
      <c r="M120" s="189"/>
    </row>
    <row r="121" spans="1:13" s="190" customFormat="1">
      <c r="A121" s="186"/>
      <c r="B121" s="186"/>
      <c r="C121" s="186"/>
      <c r="D121" s="186"/>
      <c r="E121" s="186"/>
      <c r="F121" s="186"/>
      <c r="G121" s="186"/>
      <c r="H121" s="187"/>
      <c r="I121" s="187"/>
      <c r="J121" s="187"/>
      <c r="K121" s="188"/>
      <c r="L121" s="191"/>
      <c r="M121" s="189"/>
    </row>
    <row r="122" spans="1:13" s="190" customFormat="1">
      <c r="A122" s="186"/>
      <c r="B122" s="186"/>
      <c r="C122" s="186"/>
      <c r="D122" s="186"/>
      <c r="E122" s="186"/>
      <c r="F122" s="186"/>
      <c r="G122" s="186"/>
      <c r="H122" s="187"/>
      <c r="I122" s="187"/>
      <c r="J122" s="187"/>
      <c r="K122" s="188"/>
      <c r="L122" s="191"/>
      <c r="M122" s="189"/>
    </row>
    <row r="123" spans="1:13" s="190" customFormat="1">
      <c r="A123" s="186"/>
      <c r="B123" s="186"/>
      <c r="C123" s="186"/>
      <c r="D123" s="186"/>
      <c r="E123" s="186"/>
      <c r="F123" s="186"/>
      <c r="G123" s="186"/>
      <c r="H123" s="187"/>
      <c r="I123" s="187"/>
      <c r="J123" s="187"/>
      <c r="K123" s="188"/>
      <c r="L123" s="191"/>
      <c r="M123" s="189"/>
    </row>
    <row r="124" spans="1:13" s="190" customFormat="1">
      <c r="A124" s="186"/>
      <c r="B124" s="186"/>
      <c r="C124" s="186"/>
      <c r="D124" s="186"/>
      <c r="E124" s="186"/>
      <c r="F124" s="186"/>
      <c r="G124" s="186"/>
      <c r="H124" s="187"/>
      <c r="I124" s="187"/>
      <c r="J124" s="187"/>
      <c r="K124" s="188"/>
      <c r="L124" s="191"/>
      <c r="M124" s="189"/>
    </row>
    <row r="125" spans="1:13" s="190" customFormat="1">
      <c r="A125" s="186"/>
      <c r="B125" s="186"/>
      <c r="C125" s="186"/>
      <c r="D125" s="186"/>
      <c r="E125" s="186"/>
      <c r="F125" s="186"/>
      <c r="G125" s="186"/>
      <c r="H125" s="187"/>
      <c r="I125" s="187"/>
      <c r="J125" s="187"/>
      <c r="K125" s="188"/>
      <c r="L125" s="191"/>
      <c r="M125" s="189"/>
    </row>
    <row r="126" spans="1:13" s="190" customFormat="1">
      <c r="A126" s="186"/>
      <c r="B126" s="186"/>
      <c r="C126" s="186"/>
      <c r="D126" s="186"/>
      <c r="E126" s="186"/>
      <c r="F126" s="186"/>
      <c r="G126" s="186"/>
      <c r="H126" s="187"/>
      <c r="I126" s="187"/>
      <c r="J126" s="187"/>
      <c r="K126" s="188"/>
      <c r="L126" s="191"/>
      <c r="M126" s="189"/>
    </row>
    <row r="127" spans="1:13" s="190" customFormat="1">
      <c r="A127" s="186"/>
      <c r="B127" s="186"/>
      <c r="C127" s="186"/>
      <c r="D127" s="186"/>
      <c r="E127" s="186"/>
      <c r="F127" s="186"/>
      <c r="G127" s="186"/>
      <c r="H127" s="187"/>
      <c r="I127" s="187"/>
      <c r="J127" s="187"/>
      <c r="K127" s="188"/>
      <c r="L127" s="191"/>
      <c r="M127" s="189"/>
    </row>
    <row r="128" spans="1:13" s="190" customFormat="1">
      <c r="A128" s="186"/>
      <c r="B128" s="186"/>
      <c r="C128" s="186"/>
      <c r="D128" s="186"/>
      <c r="E128" s="186"/>
      <c r="F128" s="186"/>
      <c r="G128" s="186"/>
      <c r="H128" s="187"/>
      <c r="I128" s="187"/>
      <c r="J128" s="187"/>
      <c r="K128" s="188"/>
      <c r="L128" s="191"/>
      <c r="M128" s="189"/>
    </row>
    <row r="129" spans="1:54" s="190" customFormat="1">
      <c r="A129" s="186"/>
      <c r="B129" s="186"/>
      <c r="C129" s="186"/>
      <c r="D129" s="186"/>
      <c r="E129" s="186"/>
      <c r="F129" s="186"/>
      <c r="G129" s="186"/>
      <c r="H129" s="187"/>
      <c r="I129" s="187"/>
      <c r="J129" s="187"/>
      <c r="K129" s="188"/>
      <c r="L129" s="191"/>
      <c r="M129" s="189"/>
    </row>
    <row r="130" spans="1:54" s="190" customFormat="1">
      <c r="A130" s="186"/>
      <c r="B130" s="186"/>
      <c r="C130" s="186"/>
      <c r="D130" s="186"/>
      <c r="E130" s="186"/>
      <c r="F130" s="186"/>
      <c r="G130" s="186"/>
      <c r="H130" s="187"/>
      <c r="I130" s="187"/>
      <c r="J130" s="187"/>
      <c r="K130" s="188"/>
      <c r="L130" s="191"/>
      <c r="M130" s="189"/>
    </row>
    <row r="131" spans="1:54" s="190" customFormat="1">
      <c r="A131" s="186"/>
      <c r="B131" s="186"/>
      <c r="C131" s="186"/>
      <c r="D131" s="186"/>
      <c r="E131" s="186"/>
      <c r="F131" s="186"/>
      <c r="G131" s="186"/>
      <c r="H131" s="187"/>
      <c r="I131" s="187"/>
      <c r="J131" s="187"/>
      <c r="K131" s="188"/>
      <c r="L131" s="191"/>
      <c r="M131" s="189"/>
    </row>
    <row r="132" spans="1:54" s="190" customFormat="1">
      <c r="A132" s="186"/>
      <c r="B132" s="186"/>
      <c r="C132" s="186"/>
      <c r="D132" s="186"/>
      <c r="E132" s="186"/>
      <c r="F132" s="186"/>
      <c r="G132" s="186"/>
      <c r="H132" s="187"/>
      <c r="I132" s="187"/>
      <c r="J132" s="187"/>
      <c r="K132" s="188"/>
      <c r="L132" s="191"/>
      <c r="M132" s="189"/>
    </row>
    <row r="133" spans="1:54" s="190" customFormat="1">
      <c r="A133" s="186"/>
      <c r="B133" s="186"/>
      <c r="C133" s="186"/>
      <c r="D133" s="186"/>
      <c r="E133" s="186"/>
      <c r="F133" s="186"/>
      <c r="G133" s="186"/>
      <c r="H133" s="187"/>
      <c r="I133" s="187"/>
      <c r="J133" s="187"/>
      <c r="K133" s="188"/>
      <c r="L133" s="191"/>
      <c r="M133" s="189"/>
    </row>
    <row r="134" spans="1:54" s="190" customFormat="1">
      <c r="A134" s="186"/>
      <c r="B134" s="186"/>
      <c r="C134" s="186"/>
      <c r="D134" s="186"/>
      <c r="E134" s="186"/>
      <c r="F134" s="186"/>
      <c r="G134" s="186"/>
      <c r="H134" s="187"/>
      <c r="I134" s="187"/>
      <c r="J134" s="187"/>
      <c r="K134" s="188"/>
      <c r="L134" s="191"/>
      <c r="M134" s="189"/>
    </row>
    <row r="135" spans="1:54" s="190" customFormat="1">
      <c r="A135" s="186"/>
      <c r="B135" s="186"/>
      <c r="C135" s="186"/>
      <c r="D135" s="186"/>
      <c r="E135" s="186"/>
      <c r="F135" s="186"/>
      <c r="G135" s="186"/>
      <c r="H135" s="187"/>
      <c r="I135" s="187"/>
      <c r="J135" s="187"/>
      <c r="K135" s="188"/>
      <c r="L135" s="191"/>
      <c r="M135" s="189"/>
    </row>
    <row r="136" spans="1:54" s="190" customFormat="1">
      <c r="A136" s="186"/>
      <c r="B136" s="186"/>
      <c r="C136" s="186"/>
      <c r="D136" s="186"/>
      <c r="E136" s="186"/>
      <c r="F136" s="186"/>
      <c r="G136" s="186"/>
      <c r="H136" s="187"/>
      <c r="I136" s="187"/>
      <c r="J136" s="187"/>
      <c r="K136" s="188"/>
      <c r="L136" s="191"/>
      <c r="M136" s="189"/>
    </row>
    <row r="137" spans="1:54" s="165" customFormat="1">
      <c r="A137" s="161">
        <v>45930</v>
      </c>
      <c r="B137" s="161" t="s">
        <v>41</v>
      </c>
      <c r="C137" s="162" t="s">
        <v>147</v>
      </c>
      <c r="D137" s="161" t="s">
        <v>147</v>
      </c>
      <c r="E137" s="162">
        <v>1</v>
      </c>
      <c r="F137" s="163" t="s">
        <v>155</v>
      </c>
      <c r="G137" s="164">
        <f>20677+4894.54+7415.75</f>
        <v>32987.29</v>
      </c>
      <c r="H137" s="164"/>
      <c r="I137" s="164"/>
      <c r="J137" s="164"/>
      <c r="K137" s="164">
        <v>0</v>
      </c>
      <c r="L137" s="164"/>
      <c r="M137" s="166">
        <f>G137</f>
        <v>32987.29</v>
      </c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  <c r="AP137" s="167"/>
      <c r="AQ137" s="167"/>
      <c r="AR137" s="167"/>
      <c r="AS137" s="167"/>
      <c r="AT137" s="167"/>
      <c r="AU137" s="167"/>
      <c r="AV137" s="167"/>
      <c r="AW137" s="167"/>
      <c r="AX137" s="167"/>
      <c r="AY137" s="167"/>
      <c r="AZ137" s="167"/>
      <c r="BA137" s="167"/>
      <c r="BB137" s="167"/>
    </row>
    <row r="138" spans="1:54">
      <c r="A138" s="35">
        <v>45940</v>
      </c>
      <c r="B138" s="152" t="s">
        <v>41</v>
      </c>
      <c r="C138" s="152" t="s">
        <v>30</v>
      </c>
      <c r="D138" s="153" t="s">
        <v>33</v>
      </c>
      <c r="E138" s="152">
        <v>600</v>
      </c>
      <c r="F138" s="154" t="s">
        <v>160</v>
      </c>
      <c r="G138" s="158">
        <f>62400+31200</f>
        <v>93600</v>
      </c>
      <c r="H138" s="156"/>
      <c r="I138" s="39"/>
      <c r="J138" s="39"/>
      <c r="K138" s="33">
        <f>G138</f>
        <v>93600</v>
      </c>
      <c r="L138" s="33"/>
    </row>
    <row r="139" spans="1:54">
      <c r="A139" s="47">
        <v>45943</v>
      </c>
      <c r="B139" s="48" t="s">
        <v>41</v>
      </c>
      <c r="C139" s="31" t="s">
        <v>32</v>
      </c>
      <c r="D139" s="30" t="s">
        <v>47</v>
      </c>
      <c r="E139" s="31">
        <v>4</v>
      </c>
      <c r="F139" s="32" t="s">
        <v>161</v>
      </c>
      <c r="G139" s="50">
        <f>25000*4</f>
        <v>100000</v>
      </c>
      <c r="H139" s="39"/>
      <c r="I139" s="39"/>
      <c r="J139" s="39"/>
      <c r="K139" s="50">
        <f>SUM(G139)</f>
        <v>100000</v>
      </c>
      <c r="L139" s="50"/>
    </row>
    <row r="140" spans="1:54">
      <c r="A140" s="30">
        <v>45943</v>
      </c>
      <c r="B140" s="30" t="s">
        <v>41</v>
      </c>
      <c r="C140" s="31" t="s">
        <v>26</v>
      </c>
      <c r="D140" s="30" t="s">
        <v>42</v>
      </c>
      <c r="E140" s="31">
        <v>1</v>
      </c>
      <c r="F140" s="32" t="s">
        <v>143</v>
      </c>
      <c r="G140" s="33">
        <v>10000</v>
      </c>
      <c r="H140" s="34"/>
      <c r="I140" s="34"/>
      <c r="J140" s="34"/>
      <c r="K140" s="33"/>
      <c r="L140" s="33">
        <f>G140</f>
        <v>10000</v>
      </c>
    </row>
    <row r="141" spans="1:54">
      <c r="A141" s="30">
        <v>45941</v>
      </c>
      <c r="B141" s="31" t="s">
        <v>41</v>
      </c>
      <c r="C141" s="31" t="s">
        <v>46</v>
      </c>
      <c r="D141" s="31" t="s">
        <v>56</v>
      </c>
      <c r="E141" s="31">
        <v>1</v>
      </c>
      <c r="F141" s="32" t="s">
        <v>162</v>
      </c>
      <c r="G141" s="33">
        <v>11677.6</v>
      </c>
      <c r="H141" s="33"/>
      <c r="I141" s="33"/>
      <c r="J141" s="33"/>
      <c r="K141" s="33"/>
      <c r="L141" s="33">
        <f>G141</f>
        <v>11677.6</v>
      </c>
    </row>
    <row r="142" spans="1:54" s="165" customFormat="1" ht="15" thickBot="1">
      <c r="A142" s="161">
        <v>45930</v>
      </c>
      <c r="B142" s="161" t="s">
        <v>41</v>
      </c>
      <c r="C142" s="162" t="s">
        <v>147</v>
      </c>
      <c r="D142" s="161" t="s">
        <v>147</v>
      </c>
      <c r="E142" s="162">
        <v>1</v>
      </c>
      <c r="F142" s="163" t="s">
        <v>163</v>
      </c>
      <c r="G142" s="164">
        <f>1119.23+235.04</f>
        <v>1354.27</v>
      </c>
      <c r="H142" s="164"/>
      <c r="I142" s="164"/>
      <c r="J142" s="164"/>
      <c r="K142" s="164">
        <v>0</v>
      </c>
      <c r="L142" s="164"/>
      <c r="M142" s="166">
        <f>G142</f>
        <v>1354.27</v>
      </c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  <c r="AP142" s="167"/>
      <c r="AQ142" s="167"/>
      <c r="AR142" s="167"/>
      <c r="AS142" s="167"/>
      <c r="AT142" s="167"/>
      <c r="AU142" s="167"/>
      <c r="AV142" s="167"/>
      <c r="AW142" s="167"/>
      <c r="AX142" s="167"/>
      <c r="AY142" s="167"/>
      <c r="AZ142" s="167"/>
      <c r="BA142" s="167"/>
      <c r="BB142" s="167"/>
    </row>
    <row r="143" spans="1:54">
      <c r="A143" s="103">
        <v>45945</v>
      </c>
      <c r="B143" s="104" t="s">
        <v>41</v>
      </c>
      <c r="C143" s="105" t="s">
        <v>88</v>
      </c>
      <c r="D143" s="104" t="s">
        <v>89</v>
      </c>
      <c r="E143" s="105"/>
      <c r="F143" s="106" t="s">
        <v>156</v>
      </c>
      <c r="G143" s="107">
        <v>650000</v>
      </c>
      <c r="H143" s="107"/>
      <c r="I143" s="107"/>
      <c r="J143" s="107"/>
      <c r="K143" s="107">
        <v>400000</v>
      </c>
      <c r="L143" s="108">
        <v>250000</v>
      </c>
    </row>
    <row r="144" spans="1:54" ht="15" thickBot="1">
      <c r="A144" s="109">
        <v>45945</v>
      </c>
      <c r="B144" s="110" t="s">
        <v>41</v>
      </c>
      <c r="C144" s="111" t="s">
        <v>88</v>
      </c>
      <c r="D144" s="110" t="s">
        <v>91</v>
      </c>
      <c r="E144" s="111"/>
      <c r="F144" s="112" t="s">
        <v>157</v>
      </c>
      <c r="G144" s="113">
        <v>650000</v>
      </c>
      <c r="H144" s="113"/>
      <c r="I144" s="113"/>
      <c r="J144" s="113"/>
      <c r="K144" s="113">
        <v>350000</v>
      </c>
      <c r="L144" s="114">
        <v>300000</v>
      </c>
    </row>
    <row r="145" spans="1:54" s="165" customFormat="1">
      <c r="A145" s="161">
        <v>45947</v>
      </c>
      <c r="B145" s="161" t="s">
        <v>41</v>
      </c>
      <c r="C145" s="162" t="s">
        <v>147</v>
      </c>
      <c r="D145" s="161" t="s">
        <v>147</v>
      </c>
      <c r="E145" s="162">
        <v>1</v>
      </c>
      <c r="F145" s="163" t="s">
        <v>164</v>
      </c>
      <c r="G145" s="164">
        <f>31291.02+4829.1+7585.22+6600</f>
        <v>50305.340000000004</v>
      </c>
      <c r="H145" s="164"/>
      <c r="I145" s="164"/>
      <c r="J145" s="164"/>
      <c r="K145" s="164">
        <v>0</v>
      </c>
      <c r="L145" s="164"/>
      <c r="M145" s="166">
        <f>G145</f>
        <v>50305.340000000004</v>
      </c>
      <c r="N145" s="184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67"/>
      <c r="AR145" s="167"/>
      <c r="AS145" s="167"/>
      <c r="AT145" s="167"/>
      <c r="AU145" s="167"/>
      <c r="AV145" s="167"/>
      <c r="AW145" s="167"/>
      <c r="AX145" s="167"/>
      <c r="AY145" s="167"/>
      <c r="AZ145" s="167"/>
      <c r="BA145" s="167"/>
      <c r="BB145" s="167"/>
    </row>
    <row r="146" spans="1:54">
      <c r="A146" s="30">
        <v>45951</v>
      </c>
      <c r="B146" s="31" t="s">
        <v>41</v>
      </c>
      <c r="C146" s="31" t="s">
        <v>58</v>
      </c>
      <c r="D146" s="31" t="s">
        <v>59</v>
      </c>
      <c r="E146" s="31"/>
      <c r="F146" s="32" t="s">
        <v>165</v>
      </c>
      <c r="G146" s="33">
        <v>16000</v>
      </c>
      <c r="H146" s="33"/>
      <c r="I146" s="33"/>
      <c r="J146" s="33"/>
      <c r="K146" s="33"/>
      <c r="L146" s="33">
        <f>G146</f>
        <v>16000</v>
      </c>
    </row>
    <row r="147" spans="1:54" s="165" customFormat="1">
      <c r="A147" s="161">
        <v>45954</v>
      </c>
      <c r="B147" s="161" t="s">
        <v>41</v>
      </c>
      <c r="C147" s="162" t="s">
        <v>147</v>
      </c>
      <c r="D147" s="161" t="s">
        <v>147</v>
      </c>
      <c r="E147" s="162">
        <v>1</v>
      </c>
      <c r="F147" s="163" t="s">
        <v>166</v>
      </c>
      <c r="G147" s="164">
        <f>54138.37+33500+17314.66+26000-5187.61</f>
        <v>125765.42</v>
      </c>
      <c r="H147" s="164"/>
      <c r="I147" s="164"/>
      <c r="J147" s="164"/>
      <c r="K147" s="164">
        <v>0</v>
      </c>
      <c r="L147" s="164"/>
      <c r="M147" s="166">
        <f>G147</f>
        <v>125765.42</v>
      </c>
      <c r="N147" s="184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  <c r="AA147" s="167"/>
      <c r="AB147" s="167"/>
      <c r="AC147" s="167"/>
      <c r="AD147" s="167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  <c r="AP147" s="167"/>
      <c r="AQ147" s="167"/>
      <c r="AR147" s="167"/>
      <c r="AS147" s="167"/>
      <c r="AT147" s="167"/>
      <c r="AU147" s="167"/>
      <c r="AV147" s="167"/>
      <c r="AW147" s="167"/>
      <c r="AX147" s="167"/>
      <c r="AY147" s="167"/>
      <c r="AZ147" s="167"/>
      <c r="BA147" s="167"/>
      <c r="BB147" s="167"/>
    </row>
    <row r="148" spans="1:54">
      <c r="A148" s="35">
        <v>45958</v>
      </c>
      <c r="B148" s="152" t="s">
        <v>41</v>
      </c>
      <c r="C148" s="152" t="s">
        <v>30</v>
      </c>
      <c r="D148" s="153" t="s">
        <v>33</v>
      </c>
      <c r="E148" s="152">
        <v>400</v>
      </c>
      <c r="F148" s="154" t="s">
        <v>34</v>
      </c>
      <c r="G148" s="158">
        <v>62400</v>
      </c>
      <c r="H148" s="156"/>
      <c r="I148" s="39"/>
      <c r="J148" s="39"/>
      <c r="K148" s="33"/>
      <c r="L148" s="33"/>
    </row>
    <row r="149" spans="1:54">
      <c r="A149" s="35">
        <v>45958</v>
      </c>
      <c r="B149" s="48" t="s">
        <v>41</v>
      </c>
      <c r="C149" s="151" t="s">
        <v>31</v>
      </c>
      <c r="D149" s="47" t="s">
        <v>33</v>
      </c>
      <c r="E149" s="48">
        <v>400</v>
      </c>
      <c r="F149" s="155" t="s">
        <v>115</v>
      </c>
      <c r="G149" s="159">
        <v>143200</v>
      </c>
      <c r="H149" s="157"/>
      <c r="I149" s="51"/>
      <c r="J149" s="51"/>
      <c r="K149" s="33"/>
      <c r="L149" s="33"/>
    </row>
    <row r="150" spans="1:54">
      <c r="A150" s="35">
        <v>45958</v>
      </c>
      <c r="B150" s="48" t="s">
        <v>41</v>
      </c>
      <c r="C150" s="151" t="s">
        <v>31</v>
      </c>
      <c r="D150" s="47" t="s">
        <v>33</v>
      </c>
      <c r="E150" s="48">
        <v>200</v>
      </c>
      <c r="F150" s="155" t="s">
        <v>169</v>
      </c>
      <c r="G150" s="159">
        <v>71100</v>
      </c>
      <c r="H150" s="157"/>
      <c r="I150" s="51"/>
      <c r="J150" s="51"/>
      <c r="K150" s="33">
        <f>G148+G149+G150</f>
        <v>276700</v>
      </c>
      <c r="L150" s="33"/>
    </row>
    <row r="151" spans="1:54">
      <c r="A151" s="30">
        <v>46004</v>
      </c>
      <c r="B151" s="42" t="s">
        <v>41</v>
      </c>
      <c r="C151" s="31" t="s">
        <v>38</v>
      </c>
      <c r="D151" s="30" t="s">
        <v>132</v>
      </c>
      <c r="E151" s="31">
        <v>5</v>
      </c>
      <c r="F151" s="32" t="s">
        <v>133</v>
      </c>
      <c r="G151" s="33">
        <f>10000*5</f>
        <v>50000</v>
      </c>
      <c r="H151" s="34"/>
      <c r="I151" s="34"/>
      <c r="J151" s="34"/>
      <c r="K151" s="33">
        <v>0</v>
      </c>
      <c r="L151" s="33">
        <f>G151</f>
        <v>50000</v>
      </c>
    </row>
    <row r="152" spans="1:54">
      <c r="A152" s="35"/>
      <c r="B152" s="152"/>
      <c r="C152" s="152"/>
      <c r="D152" s="153"/>
      <c r="E152" s="152"/>
      <c r="F152" s="154"/>
      <c r="G152" s="158"/>
      <c r="H152" s="156"/>
      <c r="I152" s="39"/>
      <c r="J152" s="39"/>
      <c r="K152" s="33"/>
      <c r="L152" s="33"/>
    </row>
    <row r="153" spans="1:54">
      <c r="A153" s="150"/>
      <c r="B153" s="48"/>
      <c r="C153" s="151"/>
      <c r="D153" s="47"/>
      <c r="E153" s="48"/>
      <c r="F153" s="155"/>
      <c r="G153" s="159"/>
      <c r="H153" s="157"/>
      <c r="I153" s="51"/>
      <c r="J153" s="51"/>
      <c r="K153" s="33"/>
      <c r="L153" s="33"/>
      <c r="M153" s="131">
        <f>203823-G147+5187.61</f>
        <v>83245.19</v>
      </c>
    </row>
    <row r="154" spans="1:54">
      <c r="A154" s="47"/>
      <c r="B154" s="48"/>
      <c r="C154" s="48"/>
      <c r="D154" s="47"/>
      <c r="E154" s="48"/>
      <c r="F154" s="155"/>
      <c r="G154" s="160"/>
      <c r="H154" s="156"/>
      <c r="I154" s="39"/>
      <c r="J154" s="39"/>
      <c r="K154" s="50"/>
      <c r="L154" s="50"/>
    </row>
    <row r="155" spans="1:54">
      <c r="A155" s="30"/>
      <c r="B155" s="31"/>
      <c r="C155" s="31"/>
      <c r="D155" s="30"/>
      <c r="E155" s="31"/>
      <c r="F155" s="32"/>
      <c r="G155" s="45"/>
      <c r="H155" s="51"/>
      <c r="I155" s="51"/>
      <c r="J155" s="51"/>
      <c r="K155" s="33"/>
      <c r="L155" s="33"/>
    </row>
    <row r="156" spans="1:54">
      <c r="A156" s="30"/>
      <c r="B156" s="30"/>
      <c r="C156" s="31"/>
      <c r="D156" s="30"/>
      <c r="E156" s="31"/>
      <c r="F156" s="32"/>
      <c r="G156" s="33"/>
      <c r="H156" s="34"/>
      <c r="I156" s="34"/>
      <c r="J156" s="34"/>
      <c r="K156" s="33"/>
      <c r="L156" s="33"/>
    </row>
    <row r="157" spans="1:54">
      <c r="A157" s="30"/>
      <c r="B157" s="31"/>
      <c r="C157" s="31"/>
      <c r="D157" s="31"/>
      <c r="E157" s="31"/>
      <c r="F157" s="32"/>
      <c r="G157" s="33"/>
      <c r="H157" s="33"/>
      <c r="I157" s="33"/>
      <c r="J157" s="33"/>
      <c r="K157" s="33"/>
      <c r="L157" s="33"/>
    </row>
    <row r="158" spans="1:54">
      <c r="A158" s="47"/>
      <c r="B158" s="48"/>
      <c r="C158" s="31"/>
      <c r="D158" s="30"/>
      <c r="E158" s="31"/>
      <c r="F158" s="32"/>
      <c r="G158" s="50"/>
      <c r="H158" s="39"/>
      <c r="I158" s="39"/>
      <c r="J158" s="39"/>
      <c r="K158" s="50"/>
      <c r="L158" s="50"/>
    </row>
    <row r="159" spans="1:54">
      <c r="A159" s="35"/>
      <c r="B159" s="37"/>
      <c r="C159" s="48"/>
      <c r="D159" s="47"/>
      <c r="E159" s="48"/>
      <c r="F159" s="49"/>
      <c r="G159" s="52"/>
      <c r="H159" s="39"/>
      <c r="I159" s="39"/>
      <c r="J159" s="39"/>
      <c r="K159" s="52"/>
      <c r="L159" s="52"/>
    </row>
    <row r="160" spans="1:54" s="149" customFormat="1">
      <c r="A160" s="145"/>
      <c r="B160" s="48"/>
      <c r="C160" s="48"/>
      <c r="D160" s="145"/>
      <c r="E160" s="48"/>
      <c r="F160" s="146"/>
      <c r="G160" s="50"/>
      <c r="H160" s="148"/>
      <c r="I160" s="148"/>
      <c r="J160" s="148"/>
      <c r="K160" s="147"/>
      <c r="L160" s="50"/>
    </row>
    <row r="161" spans="1:54">
      <c r="A161" s="47"/>
      <c r="B161" s="42"/>
      <c r="C161" s="48"/>
      <c r="D161" s="47"/>
      <c r="E161" s="48"/>
      <c r="F161" s="49"/>
      <c r="G161" s="45"/>
      <c r="H161" s="51"/>
      <c r="I161" s="51"/>
      <c r="J161" s="51"/>
      <c r="K161" s="45"/>
      <c r="L161" s="45"/>
    </row>
    <row r="162" spans="1:54">
      <c r="A162" s="30"/>
      <c r="B162" s="42"/>
      <c r="C162" s="31"/>
      <c r="D162" s="30"/>
      <c r="E162" s="31"/>
      <c r="F162" s="32"/>
      <c r="G162" s="33"/>
      <c r="H162" s="34"/>
      <c r="I162" s="34"/>
      <c r="J162" s="34"/>
      <c r="K162" s="33"/>
      <c r="L162" s="33"/>
    </row>
    <row r="163" spans="1:54">
      <c r="A163" s="30"/>
      <c r="B163" s="42"/>
      <c r="C163" s="31"/>
      <c r="D163" s="30"/>
      <c r="E163" s="31"/>
      <c r="F163" s="32"/>
      <c r="G163" s="33"/>
      <c r="H163" s="34"/>
      <c r="I163" s="34"/>
      <c r="J163" s="34"/>
      <c r="K163" s="33"/>
      <c r="L163" s="33"/>
    </row>
    <row r="164" spans="1:54">
      <c r="A164" s="47"/>
      <c r="B164" s="48"/>
      <c r="C164" s="48"/>
      <c r="D164" s="47"/>
      <c r="E164" s="48"/>
      <c r="F164" s="49"/>
      <c r="G164" s="50"/>
      <c r="H164" s="39"/>
      <c r="I164" s="39"/>
      <c r="J164" s="39"/>
      <c r="K164" s="50"/>
      <c r="L164" s="50"/>
    </row>
    <row r="165" spans="1:54">
      <c r="A165" s="47"/>
      <c r="B165" s="48"/>
      <c r="C165" s="48"/>
      <c r="D165" s="47"/>
      <c r="E165" s="48"/>
      <c r="F165" s="49"/>
      <c r="G165" s="50"/>
      <c r="H165" s="39"/>
      <c r="I165" s="39"/>
      <c r="J165" s="39"/>
      <c r="K165" s="50"/>
      <c r="L165" s="50"/>
    </row>
    <row r="166" spans="1:54">
      <c r="A166" s="47"/>
      <c r="B166" s="48"/>
      <c r="C166" s="31"/>
      <c r="D166" s="30"/>
      <c r="E166" s="31"/>
      <c r="F166" s="32"/>
      <c r="G166" s="50"/>
      <c r="H166" s="39"/>
      <c r="I166" s="39"/>
      <c r="J166" s="39"/>
      <c r="K166" s="50"/>
      <c r="L166" s="50"/>
    </row>
    <row r="167" spans="1:54">
      <c r="A167" s="30"/>
      <c r="B167" s="42"/>
      <c r="C167" s="31"/>
      <c r="D167" s="30"/>
      <c r="E167" s="31"/>
      <c r="F167" s="32"/>
      <c r="G167" s="33"/>
      <c r="H167" s="34"/>
      <c r="I167" s="34"/>
      <c r="J167" s="34"/>
      <c r="K167" s="33"/>
      <c r="L167" s="33"/>
    </row>
    <row r="168" spans="1:54">
      <c r="A168" s="40"/>
      <c r="B168" s="31"/>
      <c r="C168" s="42"/>
      <c r="D168" s="40"/>
      <c r="E168" s="42"/>
      <c r="F168" s="43"/>
      <c r="G168" s="33"/>
      <c r="H168" s="44"/>
      <c r="I168" s="44"/>
      <c r="J168" s="44"/>
      <c r="K168" s="33"/>
      <c r="L168" s="50"/>
    </row>
    <row r="169" spans="1:54">
      <c r="A169" s="30"/>
      <c r="B169" s="30"/>
      <c r="C169" s="31"/>
      <c r="D169" s="30"/>
      <c r="E169" s="31"/>
      <c r="F169" s="32"/>
      <c r="G169" s="33"/>
      <c r="H169" s="34"/>
      <c r="I169" s="34"/>
      <c r="J169" s="34"/>
      <c r="K169" s="33"/>
      <c r="L169" s="33"/>
    </row>
    <row r="170" spans="1:54">
      <c r="A170" s="30"/>
      <c r="B170" s="46"/>
      <c r="C170" s="31"/>
      <c r="D170" s="30"/>
      <c r="E170" s="31"/>
      <c r="F170" s="32"/>
      <c r="G170" s="33"/>
      <c r="H170" s="34"/>
      <c r="I170" s="34"/>
      <c r="J170" s="34"/>
      <c r="K170" s="33"/>
      <c r="L170" s="33"/>
    </row>
    <row r="171" spans="1:54">
      <c r="A171" s="35"/>
      <c r="B171" s="37"/>
      <c r="C171" s="48"/>
      <c r="D171" s="47"/>
      <c r="E171" s="48"/>
      <c r="F171" s="49"/>
      <c r="G171" s="52"/>
      <c r="H171" s="39"/>
      <c r="I171" s="39"/>
      <c r="J171" s="39"/>
      <c r="K171" s="52"/>
      <c r="L171" s="52"/>
    </row>
    <row r="172" spans="1:54" s="149" customFormat="1">
      <c r="A172" s="145"/>
      <c r="B172" s="48"/>
      <c r="C172" s="48"/>
      <c r="D172" s="145"/>
      <c r="E172" s="48"/>
      <c r="F172" s="146"/>
      <c r="G172" s="50"/>
      <c r="H172" s="148"/>
      <c r="I172" s="148"/>
      <c r="J172" s="148"/>
      <c r="K172" s="147"/>
      <c r="L172" s="50"/>
    </row>
    <row r="173" spans="1:54">
      <c r="A173" s="47"/>
      <c r="B173" s="48"/>
      <c r="C173" s="48"/>
      <c r="D173" s="47"/>
      <c r="E173" s="48"/>
      <c r="F173" s="49"/>
      <c r="G173" s="50"/>
      <c r="H173" s="39"/>
      <c r="I173" s="39"/>
      <c r="J173" s="39"/>
      <c r="K173" s="50"/>
      <c r="L173" s="50"/>
    </row>
    <row r="174" spans="1:54" s="165" customFormat="1">
      <c r="A174" s="161"/>
      <c r="B174" s="161"/>
      <c r="C174" s="162"/>
      <c r="D174" s="161"/>
      <c r="E174" s="162"/>
      <c r="F174" s="163"/>
      <c r="G174" s="164"/>
      <c r="H174" s="164"/>
      <c r="I174" s="164"/>
      <c r="J174" s="164"/>
      <c r="K174" s="164"/>
      <c r="L174" s="164"/>
      <c r="M174" s="166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  <c r="AA174" s="167"/>
      <c r="AB174" s="167"/>
      <c r="AC174" s="167"/>
      <c r="AD174" s="167"/>
      <c r="AE174" s="167"/>
      <c r="AF174" s="167"/>
      <c r="AG174" s="167"/>
      <c r="AH174" s="167"/>
      <c r="AI174" s="167"/>
      <c r="AJ174" s="167"/>
      <c r="AK174" s="167"/>
      <c r="AL174" s="167"/>
      <c r="AM174" s="167"/>
      <c r="AN174" s="167"/>
      <c r="AO174" s="167"/>
      <c r="AP174" s="167"/>
      <c r="AQ174" s="167"/>
      <c r="AR174" s="167"/>
      <c r="AS174" s="167"/>
      <c r="AT174" s="167"/>
      <c r="AU174" s="167"/>
      <c r="AV174" s="167"/>
      <c r="AW174" s="167"/>
      <c r="AX174" s="167"/>
      <c r="AY174" s="167"/>
      <c r="AZ174" s="167"/>
      <c r="BA174" s="167"/>
      <c r="BB174" s="167"/>
    </row>
    <row r="175" spans="1:54">
      <c r="A175" s="30"/>
      <c r="B175" s="31"/>
      <c r="C175" s="31"/>
      <c r="D175" s="31"/>
      <c r="E175" s="31"/>
      <c r="F175" s="32"/>
      <c r="G175" s="33"/>
      <c r="H175" s="33"/>
      <c r="I175" s="33"/>
      <c r="J175" s="33"/>
      <c r="K175" s="33"/>
      <c r="L175" s="33"/>
    </row>
    <row r="176" spans="1:54">
      <c r="A176" s="66"/>
      <c r="B176" s="66"/>
      <c r="C176" s="67"/>
      <c r="D176" s="66"/>
      <c r="E176" s="67"/>
      <c r="F176" s="68"/>
      <c r="G176" s="34"/>
      <c r="H176" s="34"/>
      <c r="I176" s="34"/>
      <c r="J176" s="34"/>
      <c r="K176" s="34"/>
      <c r="L176" s="34"/>
    </row>
    <row r="177" spans="1:54">
      <c r="A177" s="47"/>
      <c r="B177" s="48"/>
      <c r="C177" s="31"/>
      <c r="D177" s="30"/>
      <c r="E177" s="31"/>
      <c r="F177" s="32"/>
      <c r="G177" s="50"/>
      <c r="H177" s="39"/>
      <c r="I177" s="39"/>
      <c r="J177" s="39"/>
      <c r="K177" s="50"/>
      <c r="L177" s="50"/>
    </row>
    <row r="178" spans="1:54">
      <c r="A178" s="35"/>
      <c r="B178" s="37"/>
      <c r="C178" s="48"/>
      <c r="D178" s="47"/>
      <c r="E178" s="48"/>
      <c r="F178" s="49"/>
      <c r="G178" s="52"/>
      <c r="H178" s="39"/>
      <c r="I178" s="39"/>
      <c r="J178" s="39"/>
      <c r="K178" s="52"/>
      <c r="L178" s="52"/>
    </row>
    <row r="179" spans="1:54" s="149" customFormat="1">
      <c r="A179" s="145"/>
      <c r="B179" s="48"/>
      <c r="C179" s="48"/>
      <c r="D179" s="145"/>
      <c r="E179" s="48"/>
      <c r="F179" s="146"/>
      <c r="G179" s="50"/>
      <c r="H179" s="148"/>
      <c r="I179" s="148"/>
      <c r="J179" s="148"/>
      <c r="K179" s="147"/>
      <c r="L179" s="50"/>
    </row>
    <row r="180" spans="1:54">
      <c r="A180" s="40"/>
      <c r="B180" s="31"/>
      <c r="C180" s="40"/>
      <c r="D180" s="40"/>
      <c r="E180" s="42"/>
      <c r="F180" s="43"/>
      <c r="G180" s="33"/>
      <c r="H180" s="44"/>
      <c r="I180" s="44"/>
      <c r="J180" s="44"/>
      <c r="K180" s="33"/>
      <c r="L180" s="40"/>
    </row>
    <row r="181" spans="1:54" s="165" customFormat="1" ht="15" thickBot="1">
      <c r="A181" s="161"/>
      <c r="B181" s="161"/>
      <c r="C181" s="162"/>
      <c r="D181" s="161"/>
      <c r="E181" s="162"/>
      <c r="F181" s="163"/>
      <c r="G181" s="164"/>
      <c r="H181" s="164"/>
      <c r="I181" s="164"/>
      <c r="J181" s="164"/>
      <c r="K181" s="164"/>
      <c r="L181" s="164"/>
      <c r="M181" s="166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  <c r="AB181" s="167"/>
      <c r="AC181" s="167"/>
      <c r="AD181" s="167"/>
      <c r="AE181" s="167"/>
      <c r="AF181" s="167"/>
      <c r="AG181" s="167"/>
      <c r="AH181" s="167"/>
      <c r="AI181" s="167"/>
      <c r="AJ181" s="167"/>
      <c r="AK181" s="167"/>
      <c r="AL181" s="167"/>
      <c r="AM181" s="167"/>
      <c r="AN181" s="167"/>
      <c r="AO181" s="167"/>
      <c r="AP181" s="167"/>
      <c r="AQ181" s="167"/>
      <c r="AR181" s="167"/>
      <c r="AS181" s="167"/>
      <c r="AT181" s="167"/>
      <c r="AU181" s="167"/>
      <c r="AV181" s="167"/>
      <c r="AW181" s="167"/>
      <c r="AX181" s="167"/>
      <c r="AY181" s="167"/>
      <c r="AZ181" s="167"/>
      <c r="BA181" s="167"/>
      <c r="BB181" s="167"/>
    </row>
    <row r="182" spans="1:54">
      <c r="A182" s="103"/>
      <c r="B182" s="104"/>
      <c r="C182" s="105"/>
      <c r="D182" s="104"/>
      <c r="E182" s="105"/>
      <c r="F182" s="106"/>
      <c r="G182" s="107"/>
      <c r="H182" s="107"/>
      <c r="I182" s="107"/>
      <c r="J182" s="107"/>
      <c r="K182" s="107"/>
      <c r="L182" s="108"/>
    </row>
    <row r="183" spans="1:54" ht="15" thickBot="1">
      <c r="A183" s="109"/>
      <c r="B183" s="110"/>
      <c r="C183" s="111"/>
      <c r="D183" s="110"/>
      <c r="E183" s="111"/>
      <c r="F183" s="112"/>
      <c r="G183" s="113"/>
      <c r="H183" s="113"/>
      <c r="I183" s="113"/>
      <c r="J183" s="113"/>
      <c r="K183" s="113"/>
      <c r="L183" s="114"/>
    </row>
    <row r="184" spans="1:54">
      <c r="A184" s="47"/>
      <c r="B184" s="48" t="s">
        <v>41</v>
      </c>
      <c r="C184" s="48"/>
      <c r="D184" s="47"/>
      <c r="E184" s="48"/>
      <c r="F184" s="49"/>
      <c r="G184" s="50"/>
      <c r="H184" s="34"/>
      <c r="I184" s="34"/>
      <c r="J184" s="34"/>
      <c r="K184" s="50"/>
      <c r="L184" s="50"/>
    </row>
    <row r="185" spans="1:54">
      <c r="A185" s="47"/>
      <c r="B185" s="48" t="s">
        <v>41</v>
      </c>
      <c r="C185" s="48"/>
      <c r="D185" s="47"/>
      <c r="E185" s="48"/>
      <c r="F185" s="49"/>
      <c r="G185" s="50"/>
      <c r="H185" s="39"/>
      <c r="I185" s="39"/>
      <c r="J185" s="39"/>
      <c r="K185" s="50"/>
      <c r="L185" s="50"/>
    </row>
    <row r="186" spans="1:54">
      <c r="A186" s="35"/>
      <c r="B186" s="37" t="s">
        <v>41</v>
      </c>
      <c r="C186" s="37"/>
      <c r="D186" s="35"/>
      <c r="E186" s="37"/>
      <c r="F186" s="38"/>
      <c r="G186" s="52"/>
      <c r="H186" s="34"/>
      <c r="I186" s="34"/>
      <c r="J186" s="34"/>
      <c r="K186" s="52"/>
      <c r="L186" s="52"/>
    </row>
    <row r="187" spans="1:54">
      <c r="A187" s="47"/>
      <c r="B187" s="48" t="s">
        <v>41</v>
      </c>
      <c r="C187" s="48"/>
      <c r="D187" s="47"/>
      <c r="E187" s="48"/>
      <c r="F187" s="49"/>
      <c r="G187" s="50"/>
      <c r="H187" s="34"/>
      <c r="I187" s="34"/>
      <c r="J187" s="34"/>
      <c r="K187" s="50"/>
      <c r="L187" s="50"/>
    </row>
    <row r="188" spans="1:54">
      <c r="A188" s="47"/>
      <c r="B188" s="48" t="s">
        <v>41</v>
      </c>
      <c r="C188" s="48"/>
      <c r="D188" s="47"/>
      <c r="E188" s="48"/>
      <c r="F188" s="49"/>
      <c r="G188" s="50"/>
      <c r="H188" s="39"/>
      <c r="I188" s="39"/>
      <c r="J188" s="39"/>
      <c r="K188" s="50"/>
      <c r="L188" s="50"/>
    </row>
    <row r="189" spans="1:54">
      <c r="A189" s="47"/>
      <c r="B189" s="48" t="s">
        <v>41</v>
      </c>
      <c r="C189" s="48"/>
      <c r="D189" s="47"/>
      <c r="E189" s="48"/>
      <c r="F189" s="49"/>
      <c r="G189" s="50"/>
      <c r="H189" s="39"/>
      <c r="I189" s="39"/>
      <c r="J189" s="39"/>
      <c r="K189" s="50"/>
      <c r="L189" s="50"/>
    </row>
    <row r="190" spans="1:54">
      <c r="A190" s="30"/>
      <c r="B190" s="31" t="s">
        <v>41</v>
      </c>
      <c r="C190" s="31"/>
      <c r="D190" s="31"/>
      <c r="E190" s="31"/>
      <c r="F190" s="32"/>
      <c r="G190" s="33"/>
      <c r="H190" s="33"/>
      <c r="I190" s="33"/>
      <c r="J190" s="33"/>
      <c r="K190" s="33"/>
      <c r="L190" s="33"/>
    </row>
    <row r="191" spans="1:54">
      <c r="A191" s="35"/>
      <c r="B191" s="31" t="s">
        <v>41</v>
      </c>
      <c r="C191" s="37"/>
      <c r="D191" s="35"/>
      <c r="E191" s="37"/>
      <c r="F191" s="38"/>
      <c r="G191" s="33"/>
      <c r="H191" s="39"/>
      <c r="I191" s="39"/>
      <c r="J191" s="39"/>
      <c r="K191" s="33"/>
      <c r="L191" s="33"/>
    </row>
    <row r="192" spans="1:54">
      <c r="A192" s="47"/>
      <c r="B192" s="31" t="s">
        <v>41</v>
      </c>
      <c r="C192" s="48"/>
      <c r="D192" s="47"/>
      <c r="E192" s="48"/>
      <c r="F192" s="49"/>
      <c r="G192" s="33"/>
      <c r="H192" s="51"/>
      <c r="I192" s="51"/>
      <c r="J192" s="51"/>
      <c r="K192" s="33"/>
      <c r="L192" s="33"/>
    </row>
    <row r="193" spans="1:12">
      <c r="A193" s="40"/>
      <c r="B193" s="31" t="s">
        <v>41</v>
      </c>
      <c r="C193" s="42"/>
      <c r="D193" s="40"/>
      <c r="E193" s="42"/>
      <c r="F193" s="43"/>
      <c r="G193" s="33"/>
      <c r="H193" s="44"/>
      <c r="I193" s="44"/>
      <c r="J193" s="44"/>
      <c r="K193" s="33"/>
      <c r="L193" s="33"/>
    </row>
    <row r="194" spans="1:12">
      <c r="A194" s="40"/>
      <c r="B194" s="31" t="s">
        <v>41</v>
      </c>
      <c r="C194" s="42"/>
      <c r="D194" s="40"/>
      <c r="E194" s="42"/>
      <c r="F194" s="43"/>
      <c r="G194" s="33"/>
      <c r="H194" s="44"/>
      <c r="I194" s="44"/>
      <c r="J194" s="44"/>
      <c r="K194" s="33"/>
      <c r="L194" s="33"/>
    </row>
    <row r="195" spans="1:12">
      <c r="A195" s="40"/>
      <c r="B195" s="31" t="s">
        <v>41</v>
      </c>
      <c r="C195" s="42"/>
      <c r="D195" s="40"/>
      <c r="E195" s="42"/>
      <c r="F195" s="43"/>
      <c r="G195" s="33"/>
      <c r="H195" s="44"/>
      <c r="I195" s="44"/>
      <c r="J195" s="44"/>
      <c r="K195" s="33"/>
      <c r="L195" s="40"/>
    </row>
    <row r="196" spans="1:12" ht="15" thickBot="1">
      <c r="A196" s="40"/>
      <c r="B196" s="31" t="s">
        <v>41</v>
      </c>
      <c r="C196" s="42"/>
      <c r="D196" s="40"/>
      <c r="E196" s="42"/>
      <c r="F196" s="43"/>
      <c r="G196" s="33"/>
      <c r="H196" s="44"/>
      <c r="I196" s="44"/>
      <c r="J196" s="44"/>
      <c r="K196" s="33"/>
      <c r="L196" s="40"/>
    </row>
    <row r="197" spans="1:12">
      <c r="A197" s="103"/>
      <c r="B197" s="104" t="s">
        <v>41</v>
      </c>
      <c r="C197" s="105"/>
      <c r="D197" s="104"/>
      <c r="E197" s="105"/>
      <c r="F197" s="106"/>
      <c r="G197" s="107"/>
      <c r="H197" s="107"/>
      <c r="I197" s="107"/>
      <c r="J197" s="107"/>
      <c r="K197" s="107"/>
      <c r="L197" s="108"/>
    </row>
    <row r="198" spans="1:12" ht="15" thickBot="1">
      <c r="A198" s="109"/>
      <c r="B198" s="110" t="s">
        <v>41</v>
      </c>
      <c r="C198" s="111"/>
      <c r="D198" s="110"/>
      <c r="E198" s="111"/>
      <c r="F198" s="112"/>
      <c r="G198" s="113"/>
      <c r="H198" s="113"/>
      <c r="I198" s="113"/>
      <c r="J198" s="113"/>
      <c r="K198" s="113"/>
      <c r="L198" s="114"/>
    </row>
    <row r="199" spans="1:12">
      <c r="A199" s="66"/>
      <c r="B199" s="66" t="s">
        <v>41</v>
      </c>
      <c r="C199" s="67"/>
      <c r="D199" s="66"/>
      <c r="E199" s="67"/>
      <c r="F199" s="68"/>
      <c r="G199" s="34"/>
      <c r="H199" s="34"/>
      <c r="I199" s="34"/>
      <c r="J199" s="34"/>
      <c r="K199" s="34"/>
      <c r="L199" s="34"/>
    </row>
    <row r="200" spans="1:12">
      <c r="A200" s="40"/>
      <c r="B200" s="31" t="s">
        <v>41</v>
      </c>
      <c r="C200" s="40"/>
      <c r="D200" s="40"/>
      <c r="E200" s="42"/>
      <c r="F200" s="43"/>
      <c r="G200" s="33"/>
      <c r="H200" s="44"/>
      <c r="I200" s="44"/>
      <c r="J200" s="44"/>
      <c r="K200" s="33"/>
      <c r="L200" s="40"/>
    </row>
    <row r="201" spans="1:12">
      <c r="A201" s="30"/>
      <c r="B201" s="31" t="s">
        <v>41</v>
      </c>
      <c r="C201" s="31"/>
      <c r="D201" s="31"/>
      <c r="E201" s="31"/>
      <c r="F201" s="32"/>
      <c r="G201" s="33"/>
      <c r="H201" s="33"/>
      <c r="I201" s="33"/>
      <c r="J201" s="33"/>
      <c r="K201" s="33"/>
      <c r="L201" s="33"/>
    </row>
    <row r="202" spans="1:12">
      <c r="A202" s="30"/>
      <c r="B202" s="30" t="s">
        <v>41</v>
      </c>
      <c r="C202" s="31"/>
      <c r="D202" s="30"/>
      <c r="E202" s="31"/>
      <c r="F202" s="32"/>
      <c r="G202" s="33"/>
      <c r="H202" s="34"/>
      <c r="I202" s="34"/>
      <c r="J202" s="34"/>
      <c r="K202" s="33"/>
      <c r="L202" s="33"/>
    </row>
    <row r="203" spans="1:12">
      <c r="A203" s="30"/>
      <c r="B203" s="31" t="s">
        <v>41</v>
      </c>
      <c r="C203" s="31"/>
      <c r="D203" s="31"/>
      <c r="E203" s="31"/>
      <c r="F203" s="32"/>
      <c r="G203" s="33"/>
      <c r="H203" s="33"/>
      <c r="I203" s="33"/>
      <c r="J203" s="33"/>
      <c r="K203" s="33"/>
      <c r="L203" s="33"/>
    </row>
    <row r="204" spans="1:12">
      <c r="A204" s="30"/>
      <c r="B204" s="46" t="s">
        <v>41</v>
      </c>
      <c r="C204" s="31"/>
      <c r="D204" s="30"/>
      <c r="E204" s="31"/>
      <c r="F204" s="32"/>
      <c r="G204" s="33"/>
      <c r="H204" s="34"/>
      <c r="I204" s="34"/>
      <c r="J204" s="34"/>
      <c r="K204" s="33"/>
      <c r="L204" s="33"/>
    </row>
    <row r="205" spans="1:12">
      <c r="A205" s="40"/>
      <c r="B205" s="31" t="s">
        <v>41</v>
      </c>
      <c r="C205" s="40"/>
      <c r="D205" s="40"/>
      <c r="E205" s="42"/>
      <c r="F205" s="43"/>
      <c r="G205" s="33"/>
      <c r="H205" s="44"/>
      <c r="I205" s="44"/>
      <c r="J205" s="44"/>
      <c r="K205" s="33"/>
      <c r="L205" s="40"/>
    </row>
    <row r="206" spans="1:12">
      <c r="A206" s="47"/>
      <c r="B206" s="48" t="s">
        <v>41</v>
      </c>
      <c r="C206" s="48"/>
      <c r="D206" s="47"/>
      <c r="E206" s="48"/>
      <c r="F206" s="49"/>
      <c r="G206" s="50"/>
      <c r="H206" s="39"/>
      <c r="I206" s="39"/>
      <c r="J206" s="39"/>
      <c r="K206" s="50"/>
      <c r="L206" s="50"/>
    </row>
    <row r="207" spans="1:12">
      <c r="A207" s="40"/>
      <c r="B207" s="31" t="s">
        <v>41</v>
      </c>
      <c r="C207" s="42"/>
      <c r="D207" s="40"/>
      <c r="E207" s="42"/>
      <c r="F207" s="43"/>
      <c r="G207" s="33"/>
      <c r="H207" s="44"/>
      <c r="I207" s="44"/>
      <c r="J207" s="44"/>
      <c r="K207" s="33"/>
      <c r="L207" s="40"/>
    </row>
    <row r="208" spans="1:12">
      <c r="A208" s="35"/>
      <c r="B208" s="31" t="s">
        <v>41</v>
      </c>
      <c r="C208" s="37"/>
      <c r="D208" s="35"/>
      <c r="E208" s="37"/>
      <c r="F208" s="38"/>
      <c r="G208" s="33"/>
      <c r="H208" s="39"/>
      <c r="I208" s="39"/>
      <c r="J208" s="39"/>
      <c r="K208" s="33"/>
      <c r="L208" s="33"/>
    </row>
    <row r="209" spans="1:12">
      <c r="A209" s="47"/>
      <c r="B209" s="31" t="s">
        <v>41</v>
      </c>
      <c r="C209" s="48"/>
      <c r="D209" s="47"/>
      <c r="E209" s="48"/>
      <c r="F209" s="49"/>
      <c r="G209" s="33"/>
      <c r="H209" s="51"/>
      <c r="I209" s="51"/>
      <c r="J209" s="51"/>
      <c r="K209" s="33"/>
      <c r="L209" s="33"/>
    </row>
    <row r="210" spans="1:12">
      <c r="A210" s="40"/>
      <c r="B210" s="128" t="s">
        <v>41</v>
      </c>
      <c r="C210" s="48"/>
      <c r="D210" s="48"/>
      <c r="E210" s="48"/>
      <c r="F210" s="130"/>
      <c r="G210" s="129"/>
      <c r="H210" s="44"/>
      <c r="I210" s="44"/>
      <c r="J210" s="44"/>
      <c r="K210" s="33"/>
      <c r="L210" s="33"/>
    </row>
    <row r="211" spans="1:12">
      <c r="A211" s="35"/>
      <c r="B211" s="31" t="s">
        <v>41</v>
      </c>
      <c r="C211" s="42"/>
      <c r="D211" s="40"/>
      <c r="E211" s="42"/>
      <c r="F211" s="43"/>
      <c r="G211" s="33"/>
      <c r="H211" s="39"/>
      <c r="I211" s="39"/>
      <c r="J211" s="39"/>
      <c r="K211" s="33"/>
      <c r="L211" s="33"/>
    </row>
    <row r="212" spans="1:12">
      <c r="A212" s="40"/>
      <c r="B212" s="31" t="s">
        <v>41</v>
      </c>
      <c r="C212" s="42"/>
      <c r="D212" s="40"/>
      <c r="E212" s="42"/>
      <c r="F212" s="43"/>
      <c r="G212" s="33"/>
      <c r="H212" s="44"/>
      <c r="I212" s="44"/>
      <c r="J212" s="44"/>
      <c r="K212" s="33"/>
      <c r="L212" s="33"/>
    </row>
    <row r="213" spans="1:12" ht="13.5" customHeight="1">
      <c r="A213" s="35"/>
      <c r="B213" s="31" t="s">
        <v>41</v>
      </c>
      <c r="C213" s="42"/>
      <c r="D213" s="40"/>
      <c r="E213" s="42"/>
      <c r="F213" s="43"/>
      <c r="G213" s="33"/>
      <c r="H213" s="39"/>
      <c r="I213" s="39"/>
      <c r="J213" s="39"/>
      <c r="K213" s="33"/>
      <c r="L213" s="33"/>
    </row>
    <row r="214" spans="1:12" ht="13.5" customHeight="1">
      <c r="A214" s="35"/>
      <c r="B214" s="31" t="s">
        <v>41</v>
      </c>
      <c r="C214" s="42"/>
      <c r="D214" s="40"/>
      <c r="E214" s="42"/>
      <c r="F214" s="43"/>
      <c r="G214" s="33"/>
      <c r="H214" s="39"/>
      <c r="I214" s="39"/>
      <c r="J214" s="39"/>
      <c r="K214" s="33"/>
      <c r="L214" s="33"/>
    </row>
    <row r="215" spans="1:12" ht="13.5" customHeight="1">
      <c r="A215" s="47"/>
      <c r="B215" s="48"/>
      <c r="C215" s="48"/>
      <c r="D215" s="47"/>
      <c r="E215" s="48"/>
      <c r="F215" s="49"/>
      <c r="G215" s="50"/>
      <c r="H215" s="39"/>
      <c r="I215" s="39"/>
      <c r="J215" s="39"/>
      <c r="K215" s="50"/>
      <c r="L215" s="50"/>
    </row>
    <row r="216" spans="1:12">
      <c r="A216" s="47"/>
      <c r="B216" s="48"/>
      <c r="C216" s="48"/>
      <c r="D216" s="47"/>
      <c r="E216" s="48"/>
      <c r="F216" s="49"/>
      <c r="G216" s="50"/>
      <c r="H216" s="39"/>
      <c r="I216" s="39"/>
      <c r="J216" s="39"/>
      <c r="K216" s="50"/>
      <c r="L216" s="50"/>
    </row>
    <row r="217" spans="1:12">
      <c r="A217" s="47"/>
      <c r="B217" s="48"/>
      <c r="C217" s="48"/>
      <c r="D217" s="47"/>
      <c r="E217" s="48"/>
      <c r="F217" s="49"/>
      <c r="G217" s="50"/>
      <c r="H217" s="39"/>
      <c r="I217" s="39"/>
      <c r="J217" s="39"/>
      <c r="K217" s="50"/>
      <c r="L217" s="45"/>
    </row>
    <row r="218" spans="1:12">
      <c r="A218" s="30"/>
      <c r="B218" s="30"/>
      <c r="C218" s="31"/>
      <c r="D218" s="30"/>
      <c r="E218" s="31"/>
      <c r="F218" s="32"/>
      <c r="G218" s="33"/>
      <c r="H218" s="34"/>
      <c r="I218" s="34"/>
      <c r="J218" s="34"/>
      <c r="K218" s="33"/>
      <c r="L218" s="33"/>
    </row>
    <row r="219" spans="1:12">
      <c r="A219" s="35">
        <v>45854</v>
      </c>
      <c r="B219" s="36" t="s">
        <v>29</v>
      </c>
      <c r="C219" s="37" t="s">
        <v>30</v>
      </c>
      <c r="D219" s="35"/>
      <c r="E219" s="37"/>
      <c r="F219" s="38"/>
      <c r="G219" s="33"/>
      <c r="H219" s="39"/>
      <c r="I219" s="39"/>
      <c r="J219" s="39"/>
      <c r="K219" s="33"/>
      <c r="L219" s="33"/>
    </row>
    <row r="220" spans="1:12">
      <c r="A220" s="47">
        <v>45906</v>
      </c>
      <c r="B220" s="48" t="s">
        <v>41</v>
      </c>
      <c r="C220" s="37" t="s">
        <v>32</v>
      </c>
      <c r="D220" s="35" t="s">
        <v>119</v>
      </c>
      <c r="E220" s="37">
        <v>1</v>
      </c>
      <c r="F220" s="38" t="s">
        <v>36</v>
      </c>
      <c r="G220" s="50">
        <v>41000</v>
      </c>
      <c r="H220" s="39"/>
      <c r="I220" s="39"/>
      <c r="J220" s="39"/>
      <c r="K220" s="50">
        <v>41000</v>
      </c>
      <c r="L220" s="50"/>
    </row>
    <row r="221" spans="1:12">
      <c r="A221" s="35">
        <v>45907</v>
      </c>
      <c r="B221" s="152" t="s">
        <v>41</v>
      </c>
      <c r="C221" s="152" t="s">
        <v>30</v>
      </c>
      <c r="D221" s="153" t="s">
        <v>33</v>
      </c>
      <c r="E221" s="152">
        <v>400</v>
      </c>
      <c r="F221" s="154" t="s">
        <v>34</v>
      </c>
      <c r="G221" s="158">
        <v>62400</v>
      </c>
      <c r="H221" s="156"/>
      <c r="I221" s="39"/>
      <c r="J221" s="39"/>
      <c r="K221" s="33"/>
      <c r="L221" s="33"/>
    </row>
    <row r="222" spans="1:12">
      <c r="A222" s="150">
        <v>45907</v>
      </c>
      <c r="B222" s="48" t="s">
        <v>41</v>
      </c>
      <c r="C222" s="151" t="s">
        <v>31</v>
      </c>
      <c r="D222" s="47" t="s">
        <v>33</v>
      </c>
      <c r="E222" s="48">
        <v>400</v>
      </c>
      <c r="F222" s="155" t="s">
        <v>115</v>
      </c>
      <c r="G222" s="159">
        <v>143200</v>
      </c>
      <c r="H222" s="157"/>
      <c r="I222" s="51"/>
      <c r="J222" s="51"/>
      <c r="K222" s="33"/>
      <c r="L222" s="33"/>
    </row>
    <row r="223" spans="1:12">
      <c r="A223" s="47">
        <v>45907</v>
      </c>
      <c r="B223" s="48" t="s">
        <v>41</v>
      </c>
      <c r="C223" s="48" t="s">
        <v>32</v>
      </c>
      <c r="D223" s="47" t="s">
        <v>33</v>
      </c>
      <c r="E223" s="48">
        <v>2</v>
      </c>
      <c r="F223" s="155" t="s">
        <v>48</v>
      </c>
      <c r="G223" s="160">
        <v>51000</v>
      </c>
      <c r="H223" s="156"/>
      <c r="I223" s="39"/>
      <c r="J223" s="39"/>
      <c r="K223" s="50">
        <f>SUM(G221:G223)</f>
        <v>256600</v>
      </c>
      <c r="L223" s="50"/>
    </row>
    <row r="224" spans="1:12">
      <c r="A224" s="30">
        <v>45910</v>
      </c>
      <c r="B224" s="31" t="s">
        <v>41</v>
      </c>
      <c r="C224" s="31" t="s">
        <v>127</v>
      </c>
      <c r="D224" s="30" t="s">
        <v>121</v>
      </c>
      <c r="E224" s="31">
        <v>1</v>
      </c>
      <c r="F224" s="32" t="s">
        <v>128</v>
      </c>
      <c r="G224" s="45">
        <f>12000+10000</f>
        <v>22000</v>
      </c>
      <c r="H224" s="51"/>
      <c r="I224" s="51"/>
      <c r="J224" s="51"/>
      <c r="K224" s="33">
        <f>G224</f>
        <v>22000</v>
      </c>
      <c r="L224" s="33"/>
    </row>
    <row r="225" spans="1:12">
      <c r="A225" s="30">
        <v>45911</v>
      </c>
      <c r="B225" s="30" t="s">
        <v>41</v>
      </c>
      <c r="C225" s="31" t="s">
        <v>46</v>
      </c>
      <c r="D225" s="30" t="s">
        <v>44</v>
      </c>
      <c r="E225" s="31">
        <v>1</v>
      </c>
      <c r="F225" s="32" t="s">
        <v>129</v>
      </c>
      <c r="G225" s="33">
        <v>14384</v>
      </c>
      <c r="H225" s="34"/>
      <c r="I225" s="34"/>
      <c r="J225" s="34"/>
      <c r="K225" s="33"/>
      <c r="L225" s="33">
        <f>G225</f>
        <v>14384</v>
      </c>
    </row>
    <row r="226" spans="1:12">
      <c r="A226" s="30">
        <v>45911</v>
      </c>
      <c r="B226" s="31" t="s">
        <v>41</v>
      </c>
      <c r="C226" s="31" t="s">
        <v>46</v>
      </c>
      <c r="D226" s="31" t="s">
        <v>56</v>
      </c>
      <c r="E226" s="31">
        <v>1</v>
      </c>
      <c r="F226" s="32" t="s">
        <v>130</v>
      </c>
      <c r="G226" s="33">
        <v>11677.6</v>
      </c>
      <c r="H226" s="33"/>
      <c r="I226" s="33"/>
      <c r="J226" s="33"/>
      <c r="K226" s="33"/>
      <c r="L226" s="33">
        <f>G226</f>
        <v>11677.6</v>
      </c>
    </row>
    <row r="227" spans="1:12">
      <c r="A227" s="47">
        <v>45912</v>
      </c>
      <c r="B227" s="48" t="s">
        <v>41</v>
      </c>
      <c r="C227" s="31" t="s">
        <v>32</v>
      </c>
      <c r="D227" s="30" t="s">
        <v>47</v>
      </c>
      <c r="E227" s="31">
        <v>2</v>
      </c>
      <c r="F227" s="32" t="s">
        <v>48</v>
      </c>
      <c r="G227" s="50">
        <v>51000</v>
      </c>
      <c r="H227" s="39"/>
      <c r="I227" s="39"/>
      <c r="J227" s="39"/>
      <c r="K227" s="50">
        <f>SUM(G227)</f>
        <v>51000</v>
      </c>
      <c r="L227" s="50"/>
    </row>
    <row r="228" spans="1:12">
      <c r="A228" s="35">
        <v>45907</v>
      </c>
      <c r="B228" s="37" t="s">
        <v>41</v>
      </c>
      <c r="C228" s="48" t="s">
        <v>30</v>
      </c>
      <c r="D228" s="47" t="s">
        <v>33</v>
      </c>
      <c r="E228" s="48">
        <v>400</v>
      </c>
      <c r="F228" s="49" t="s">
        <v>34</v>
      </c>
      <c r="G228" s="52">
        <v>62400</v>
      </c>
      <c r="H228" s="39"/>
      <c r="I228" s="39"/>
      <c r="J228" s="39"/>
      <c r="K228" s="52"/>
      <c r="L228" s="52"/>
    </row>
    <row r="229" spans="1:12" s="149" customFormat="1">
      <c r="A229" s="145">
        <v>45907</v>
      </c>
      <c r="B229" s="48" t="s">
        <v>41</v>
      </c>
      <c r="C229" s="48" t="s">
        <v>31</v>
      </c>
      <c r="D229" s="145" t="s">
        <v>33</v>
      </c>
      <c r="E229" s="48">
        <v>400</v>
      </c>
      <c r="F229" s="146" t="s">
        <v>115</v>
      </c>
      <c r="G229" s="50">
        <v>143200</v>
      </c>
      <c r="H229" s="148"/>
      <c r="I229" s="148"/>
      <c r="J229" s="148"/>
      <c r="K229" s="147"/>
      <c r="L229" s="50"/>
    </row>
    <row r="230" spans="1:12">
      <c r="A230" s="47">
        <v>45907</v>
      </c>
      <c r="B230" s="42" t="s">
        <v>41</v>
      </c>
      <c r="C230" s="48" t="s">
        <v>31</v>
      </c>
      <c r="D230" s="47" t="s">
        <v>33</v>
      </c>
      <c r="E230" s="48">
        <v>400</v>
      </c>
      <c r="F230" s="49" t="s">
        <v>131</v>
      </c>
      <c r="G230" s="45">
        <v>143200</v>
      </c>
      <c r="H230" s="51"/>
      <c r="I230" s="51"/>
      <c r="J230" s="51"/>
      <c r="K230" s="45">
        <f>G228+G229+G230</f>
        <v>348800</v>
      </c>
      <c r="L230" s="45"/>
    </row>
    <row r="231" spans="1:12">
      <c r="A231" s="30">
        <v>45913</v>
      </c>
      <c r="B231" s="42" t="s">
        <v>41</v>
      </c>
      <c r="C231" s="31" t="s">
        <v>38</v>
      </c>
      <c r="D231" s="30" t="s">
        <v>132</v>
      </c>
      <c r="E231" s="31">
        <v>5</v>
      </c>
      <c r="F231" s="32" t="s">
        <v>133</v>
      </c>
      <c r="G231" s="33">
        <f>10000*5</f>
        <v>50000</v>
      </c>
      <c r="H231" s="34"/>
      <c r="I231" s="34"/>
      <c r="J231" s="34"/>
      <c r="K231" s="33">
        <v>0</v>
      </c>
      <c r="L231" s="33">
        <f>G231</f>
        <v>50000</v>
      </c>
    </row>
    <row r="232" spans="1:12">
      <c r="A232" s="30">
        <v>45915</v>
      </c>
      <c r="B232" s="42" t="s">
        <v>41</v>
      </c>
      <c r="C232" s="31" t="s">
        <v>135</v>
      </c>
      <c r="D232" s="30" t="s">
        <v>134</v>
      </c>
      <c r="E232" s="31">
        <v>1</v>
      </c>
      <c r="F232" s="32" t="s">
        <v>136</v>
      </c>
      <c r="G232" s="33">
        <v>12750</v>
      </c>
      <c r="H232" s="34"/>
      <c r="I232" s="34"/>
      <c r="J232" s="34"/>
      <c r="K232" s="33">
        <v>0</v>
      </c>
      <c r="L232" s="33">
        <f>G232</f>
        <v>12750</v>
      </c>
    </row>
    <row r="233" spans="1:12">
      <c r="A233" s="47">
        <v>45916</v>
      </c>
      <c r="B233" s="48" t="s">
        <v>41</v>
      </c>
      <c r="C233" s="48" t="s">
        <v>32</v>
      </c>
      <c r="D233" s="47" t="s">
        <v>119</v>
      </c>
      <c r="E233" s="48">
        <v>2</v>
      </c>
      <c r="F233" s="49" t="s">
        <v>137</v>
      </c>
      <c r="G233" s="50">
        <v>84523</v>
      </c>
      <c r="H233" s="39"/>
      <c r="I233" s="39"/>
      <c r="J233" s="39"/>
      <c r="K233" s="50">
        <f>G233</f>
        <v>84523</v>
      </c>
      <c r="L233" s="50"/>
    </row>
    <row r="234" spans="1:12">
      <c r="A234" s="47">
        <v>45916</v>
      </c>
      <c r="B234" s="48" t="s">
        <v>41</v>
      </c>
      <c r="C234" s="48" t="s">
        <v>32</v>
      </c>
      <c r="D234" s="47" t="s">
        <v>119</v>
      </c>
      <c r="E234" s="48">
        <v>4</v>
      </c>
      <c r="F234" s="49" t="s">
        <v>145</v>
      </c>
      <c r="G234" s="50">
        <v>169046</v>
      </c>
      <c r="H234" s="39"/>
      <c r="I234" s="39"/>
      <c r="J234" s="39"/>
      <c r="K234" s="50"/>
      <c r="L234" s="50">
        <f>G234</f>
        <v>169046</v>
      </c>
    </row>
    <row r="235" spans="1:12">
      <c r="A235" s="47">
        <v>45916</v>
      </c>
      <c r="B235" s="48" t="s">
        <v>41</v>
      </c>
      <c r="C235" s="31" t="s">
        <v>32</v>
      </c>
      <c r="D235" s="30" t="s">
        <v>47</v>
      </c>
      <c r="E235" s="31">
        <v>6</v>
      </c>
      <c r="F235" s="32" t="s">
        <v>138</v>
      </c>
      <c r="G235" s="50">
        <f>25000*6</f>
        <v>150000</v>
      </c>
      <c r="H235" s="39"/>
      <c r="I235" s="39"/>
      <c r="J235" s="39"/>
      <c r="K235" s="50">
        <f>SUM(G235)</f>
        <v>150000</v>
      </c>
      <c r="L235" s="50"/>
    </row>
    <row r="236" spans="1:12">
      <c r="A236" s="30">
        <v>45916</v>
      </c>
      <c r="B236" s="42" t="s">
        <v>41</v>
      </c>
      <c r="C236" s="31" t="s">
        <v>135</v>
      </c>
      <c r="D236" s="30" t="s">
        <v>139</v>
      </c>
      <c r="E236" s="31">
        <v>1</v>
      </c>
      <c r="F236" s="32" t="s">
        <v>140</v>
      </c>
      <c r="G236" s="33">
        <v>1500</v>
      </c>
      <c r="H236" s="34"/>
      <c r="I236" s="34"/>
      <c r="J236" s="34"/>
      <c r="K236" s="33">
        <f>G236</f>
        <v>1500</v>
      </c>
      <c r="L236" s="33"/>
    </row>
    <row r="237" spans="1:12">
      <c r="A237" s="40">
        <v>45917</v>
      </c>
      <c r="B237" s="31" t="s">
        <v>41</v>
      </c>
      <c r="C237" s="42" t="s">
        <v>65</v>
      </c>
      <c r="D237" s="40" t="s">
        <v>141</v>
      </c>
      <c r="E237" s="42">
        <v>600</v>
      </c>
      <c r="F237" s="43" t="s">
        <v>142</v>
      </c>
      <c r="G237" s="33">
        <v>13800</v>
      </c>
      <c r="H237" s="44"/>
      <c r="I237" s="44"/>
      <c r="J237" s="44"/>
      <c r="K237" s="33"/>
      <c r="L237" s="50">
        <v>13800</v>
      </c>
    </row>
    <row r="238" spans="1:12">
      <c r="A238" s="30">
        <v>45918</v>
      </c>
      <c r="B238" s="30" t="s">
        <v>41</v>
      </c>
      <c r="C238" s="31" t="s">
        <v>26</v>
      </c>
      <c r="D238" s="30" t="s">
        <v>42</v>
      </c>
      <c r="E238" s="31">
        <v>1</v>
      </c>
      <c r="F238" s="32" t="s">
        <v>143</v>
      </c>
      <c r="G238" s="33">
        <v>10000</v>
      </c>
      <c r="H238" s="34"/>
      <c r="I238" s="34"/>
      <c r="J238" s="34"/>
      <c r="K238" s="33"/>
      <c r="L238" s="33">
        <f>G238</f>
        <v>10000</v>
      </c>
    </row>
    <row r="239" spans="1:12">
      <c r="A239" s="30">
        <v>45918</v>
      </c>
      <c r="B239" s="46" t="s">
        <v>41</v>
      </c>
      <c r="C239" s="31" t="s">
        <v>38</v>
      </c>
      <c r="D239" s="30" t="s">
        <v>84</v>
      </c>
      <c r="E239" s="31">
        <v>10</v>
      </c>
      <c r="F239" s="32" t="s">
        <v>144</v>
      </c>
      <c r="G239" s="33">
        <f>8000*10</f>
        <v>80000</v>
      </c>
      <c r="H239" s="34"/>
      <c r="I239" s="34"/>
      <c r="J239" s="34"/>
      <c r="K239" s="33">
        <f>G239</f>
        <v>80000</v>
      </c>
      <c r="L239" s="33"/>
    </row>
    <row r="240" spans="1:12">
      <c r="A240" s="35">
        <v>45919</v>
      </c>
      <c r="B240" s="37" t="s">
        <v>41</v>
      </c>
      <c r="C240" s="48" t="s">
        <v>30</v>
      </c>
      <c r="D240" s="47" t="s">
        <v>33</v>
      </c>
      <c r="E240" s="48">
        <v>600</v>
      </c>
      <c r="F240" s="49" t="s">
        <v>34</v>
      </c>
      <c r="G240" s="52">
        <f>62400+31200</f>
        <v>93600</v>
      </c>
      <c r="H240" s="39"/>
      <c r="I240" s="39"/>
      <c r="J240" s="39"/>
      <c r="K240" s="52"/>
      <c r="L240" s="52"/>
    </row>
    <row r="241" spans="1:54" s="149" customFormat="1">
      <c r="A241" s="145">
        <v>45919</v>
      </c>
      <c r="B241" s="48" t="s">
        <v>41</v>
      </c>
      <c r="C241" s="48" t="s">
        <v>31</v>
      </c>
      <c r="D241" s="145" t="s">
        <v>33</v>
      </c>
      <c r="E241" s="48">
        <v>400</v>
      </c>
      <c r="F241" s="146" t="s">
        <v>115</v>
      </c>
      <c r="G241" s="50">
        <v>143200</v>
      </c>
      <c r="H241" s="148"/>
      <c r="I241" s="148"/>
      <c r="J241" s="148"/>
      <c r="K241" s="147"/>
      <c r="L241" s="50">
        <f>G240+G241</f>
        <v>236800</v>
      </c>
    </row>
    <row r="242" spans="1:54">
      <c r="A242" s="47">
        <v>45918</v>
      </c>
      <c r="B242" s="48" t="s">
        <v>41</v>
      </c>
      <c r="C242" s="48" t="s">
        <v>32</v>
      </c>
      <c r="D242" s="47" t="s">
        <v>119</v>
      </c>
      <c r="E242" s="48">
        <v>3</v>
      </c>
      <c r="F242" s="49" t="s">
        <v>146</v>
      </c>
      <c r="G242" s="50">
        <f>42261.5*3</f>
        <v>126784.5</v>
      </c>
      <c r="H242" s="39"/>
      <c r="I242" s="39"/>
      <c r="J242" s="39"/>
      <c r="K242" s="50">
        <f>G242</f>
        <v>126784.5</v>
      </c>
      <c r="L242" s="50">
        <v>0</v>
      </c>
    </row>
    <row r="243" spans="1:54" s="165" customFormat="1">
      <c r="A243" s="161">
        <v>45919</v>
      </c>
      <c r="B243" s="161" t="s">
        <v>41</v>
      </c>
      <c r="C243" s="162" t="s">
        <v>147</v>
      </c>
      <c r="D243" s="161" t="s">
        <v>147</v>
      </c>
      <c r="E243" s="162">
        <v>1</v>
      </c>
      <c r="F243" s="163" t="s">
        <v>148</v>
      </c>
      <c r="G243" s="164">
        <f>8925.94+415.87+2079.59</f>
        <v>11421.400000000001</v>
      </c>
      <c r="H243" s="164"/>
      <c r="I243" s="164"/>
      <c r="J243" s="164"/>
      <c r="K243" s="164">
        <v>0</v>
      </c>
      <c r="L243" s="164"/>
      <c r="M243" s="166">
        <f>G243</f>
        <v>11421.400000000001</v>
      </c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7"/>
      <c r="AL243" s="167"/>
      <c r="AM243" s="167"/>
      <c r="AN243" s="167"/>
      <c r="AO243" s="167"/>
      <c r="AP243" s="167"/>
      <c r="AQ243" s="167"/>
      <c r="AR243" s="167"/>
      <c r="AS243" s="167"/>
      <c r="AT243" s="167"/>
      <c r="AU243" s="167"/>
      <c r="AV243" s="167"/>
      <c r="AW243" s="167"/>
      <c r="AX243" s="167"/>
      <c r="AY243" s="167"/>
      <c r="AZ243" s="167"/>
      <c r="BA243" s="167"/>
      <c r="BB243" s="167"/>
    </row>
    <row r="244" spans="1:54">
      <c r="A244" s="30">
        <v>45922</v>
      </c>
      <c r="B244" s="31" t="s">
        <v>41</v>
      </c>
      <c r="C244" s="31" t="s">
        <v>58</v>
      </c>
      <c r="D244" s="31" t="s">
        <v>59</v>
      </c>
      <c r="E244" s="31"/>
      <c r="F244" s="32" t="s">
        <v>150</v>
      </c>
      <c r="G244" s="33">
        <v>16000</v>
      </c>
      <c r="H244" s="33"/>
      <c r="I244" s="33"/>
      <c r="J244" s="33"/>
      <c r="K244" s="33"/>
      <c r="L244" s="33">
        <f>G244</f>
        <v>16000</v>
      </c>
    </row>
    <row r="245" spans="1:54">
      <c r="A245" s="66">
        <v>45922</v>
      </c>
      <c r="B245" s="66" t="s">
        <v>41</v>
      </c>
      <c r="C245" s="67" t="s">
        <v>62</v>
      </c>
      <c r="D245" s="66" t="s">
        <v>105</v>
      </c>
      <c r="E245" s="67"/>
      <c r="F245" s="68" t="s">
        <v>64</v>
      </c>
      <c r="G245" s="34">
        <v>7000</v>
      </c>
      <c r="H245" s="34"/>
      <c r="I245" s="34"/>
      <c r="J245" s="34"/>
      <c r="K245" s="34">
        <v>7000</v>
      </c>
      <c r="L245" s="34"/>
    </row>
    <row r="246" spans="1:54">
      <c r="A246" s="47">
        <v>45924</v>
      </c>
      <c r="B246" s="48" t="s">
        <v>41</v>
      </c>
      <c r="C246" s="31" t="s">
        <v>32</v>
      </c>
      <c r="D246" s="30" t="s">
        <v>47</v>
      </c>
      <c r="E246" s="31">
        <v>4</v>
      </c>
      <c r="F246" s="32" t="s">
        <v>151</v>
      </c>
      <c r="G246" s="50">
        <f>25000*4</f>
        <v>100000</v>
      </c>
      <c r="H246" s="39"/>
      <c r="I246" s="39"/>
      <c r="J246" s="39"/>
      <c r="K246" s="50">
        <f>SUM(G246)</f>
        <v>100000</v>
      </c>
      <c r="L246" s="50"/>
    </row>
    <row r="247" spans="1:54">
      <c r="A247" s="35">
        <v>45926</v>
      </c>
      <c r="B247" s="37" t="s">
        <v>41</v>
      </c>
      <c r="C247" s="48" t="s">
        <v>30</v>
      </c>
      <c r="D247" s="47" t="s">
        <v>33</v>
      </c>
      <c r="E247" s="48">
        <v>1200</v>
      </c>
      <c r="F247" s="49" t="s">
        <v>152</v>
      </c>
      <c r="G247" s="52">
        <f>62400*3</f>
        <v>187200</v>
      </c>
      <c r="H247" s="39"/>
      <c r="I247" s="39"/>
      <c r="J247" s="39"/>
      <c r="K247" s="52"/>
      <c r="L247" s="52"/>
    </row>
    <row r="248" spans="1:54" s="149" customFormat="1">
      <c r="A248" s="145">
        <v>45926</v>
      </c>
      <c r="B248" s="48" t="s">
        <v>41</v>
      </c>
      <c r="C248" s="48" t="s">
        <v>31</v>
      </c>
      <c r="D248" s="145" t="s">
        <v>33</v>
      </c>
      <c r="E248" s="48">
        <v>2000</v>
      </c>
      <c r="F248" s="146" t="s">
        <v>153</v>
      </c>
      <c r="G248" s="50">
        <f>143200*5</f>
        <v>716000</v>
      </c>
      <c r="H248" s="148"/>
      <c r="I248" s="148"/>
      <c r="J248" s="148"/>
      <c r="K248" s="147">
        <f>G247+G248-25000-62400</f>
        <v>815800</v>
      </c>
      <c r="L248" s="50"/>
    </row>
    <row r="249" spans="1:54">
      <c r="A249" s="40">
        <v>45929</v>
      </c>
      <c r="B249" s="31" t="s">
        <v>41</v>
      </c>
      <c r="C249" s="40" t="s">
        <v>106</v>
      </c>
      <c r="D249" s="40" t="s">
        <v>106</v>
      </c>
      <c r="E249" s="42">
        <v>2</v>
      </c>
      <c r="F249" s="43" t="s">
        <v>154</v>
      </c>
      <c r="G249" s="33">
        <f>30000*2</f>
        <v>60000</v>
      </c>
      <c r="H249" s="44"/>
      <c r="I249" s="44"/>
      <c r="J249" s="44"/>
      <c r="K249" s="33">
        <f>G249</f>
        <v>60000</v>
      </c>
      <c r="L249" s="40"/>
    </row>
    <row r="250" spans="1:54" s="165" customFormat="1" ht="15" thickBot="1">
      <c r="A250" s="161">
        <v>45930</v>
      </c>
      <c r="B250" s="161" t="s">
        <v>41</v>
      </c>
      <c r="C250" s="162" t="s">
        <v>147</v>
      </c>
      <c r="D250" s="161" t="s">
        <v>147</v>
      </c>
      <c r="E250" s="162">
        <v>1</v>
      </c>
      <c r="F250" s="163" t="s">
        <v>155</v>
      </c>
      <c r="G250" s="164">
        <f>20677+4894.54+7415.75+15750</f>
        <v>48737.29</v>
      </c>
      <c r="H250" s="164"/>
      <c r="I250" s="164"/>
      <c r="J250" s="164"/>
      <c r="K250" s="164">
        <v>0</v>
      </c>
      <c r="L250" s="164"/>
      <c r="M250" s="166">
        <f>G250</f>
        <v>48737.29</v>
      </c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  <c r="AP250" s="167"/>
      <c r="AQ250" s="167"/>
      <c r="AR250" s="167"/>
      <c r="AS250" s="167"/>
      <c r="AT250" s="167"/>
      <c r="AU250" s="167"/>
      <c r="AV250" s="167"/>
      <c r="AW250" s="167"/>
      <c r="AX250" s="167"/>
      <c r="AY250" s="167"/>
      <c r="AZ250" s="167"/>
      <c r="BA250" s="167"/>
      <c r="BB250" s="167"/>
    </row>
    <row r="251" spans="1:54">
      <c r="A251" s="103">
        <v>45930</v>
      </c>
      <c r="B251" s="104" t="s">
        <v>41</v>
      </c>
      <c r="C251" s="105" t="s">
        <v>88</v>
      </c>
      <c r="D251" s="104" t="s">
        <v>89</v>
      </c>
      <c r="E251" s="105"/>
      <c r="F251" s="106" t="s">
        <v>156</v>
      </c>
      <c r="G251" s="107">
        <v>1300000</v>
      </c>
      <c r="H251" s="107"/>
      <c r="I251" s="107"/>
      <c r="J251" s="107"/>
      <c r="K251" s="107">
        <v>800000</v>
      </c>
      <c r="L251" s="108">
        <v>500000</v>
      </c>
    </row>
    <row r="252" spans="1:54" ht="15" thickBot="1">
      <c r="A252" s="109">
        <v>45930</v>
      </c>
      <c r="B252" s="110" t="s">
        <v>41</v>
      </c>
      <c r="C252" s="111" t="s">
        <v>88</v>
      </c>
      <c r="D252" s="110" t="s">
        <v>91</v>
      </c>
      <c r="E252" s="111"/>
      <c r="F252" s="112" t="s">
        <v>157</v>
      </c>
      <c r="G252" s="113">
        <v>1300000</v>
      </c>
      <c r="H252" s="113"/>
      <c r="I252" s="113"/>
      <c r="J252" s="113"/>
      <c r="K252" s="113">
        <v>400000</v>
      </c>
      <c r="L252" s="114">
        <v>900000</v>
      </c>
    </row>
    <row r="253" spans="1:54">
      <c r="A253" s="47">
        <v>45854</v>
      </c>
      <c r="B253" s="53" t="s">
        <v>29</v>
      </c>
      <c r="C253" s="48" t="s">
        <v>31</v>
      </c>
      <c r="D253" s="47"/>
      <c r="E253" s="48"/>
      <c r="F253" s="49"/>
      <c r="G253" s="33"/>
      <c r="H253" s="51"/>
      <c r="I253" s="51"/>
      <c r="J253" s="51"/>
      <c r="K253" s="33"/>
      <c r="L253" s="33"/>
    </row>
    <row r="254" spans="1:54">
      <c r="A254" s="40">
        <v>45854</v>
      </c>
      <c r="B254" s="41" t="s">
        <v>29</v>
      </c>
      <c r="C254" s="42" t="s">
        <v>32</v>
      </c>
      <c r="D254" s="40"/>
      <c r="E254" s="42"/>
      <c r="F254" s="43"/>
      <c r="G254" s="33"/>
      <c r="H254" s="44"/>
      <c r="I254" s="44"/>
      <c r="J254" s="44"/>
      <c r="K254" s="33"/>
      <c r="L254" s="33"/>
    </row>
    <row r="255" spans="1:54">
      <c r="A255" s="30">
        <v>45853</v>
      </c>
      <c r="B255" s="46" t="s">
        <v>29</v>
      </c>
      <c r="C255" s="31" t="s">
        <v>38</v>
      </c>
      <c r="D255" s="30"/>
      <c r="E255" s="31"/>
      <c r="F255" s="32"/>
      <c r="G255" s="33"/>
      <c r="H255" s="34"/>
      <c r="I255" s="34"/>
      <c r="J255" s="34"/>
      <c r="K255" s="33"/>
      <c r="L255" s="33"/>
    </row>
    <row r="256" spans="1:54">
      <c r="A256" s="30">
        <v>45855</v>
      </c>
      <c r="B256" s="30" t="s">
        <v>41</v>
      </c>
      <c r="C256" s="31" t="s">
        <v>26</v>
      </c>
      <c r="D256" s="30"/>
      <c r="E256" s="31"/>
      <c r="F256" s="32"/>
      <c r="G256" s="33"/>
      <c r="H256" s="34"/>
      <c r="I256" s="34"/>
      <c r="J256" s="34"/>
      <c r="K256" s="33"/>
      <c r="L256" s="33"/>
    </row>
    <row r="257" spans="1:12">
      <c r="A257" s="30">
        <v>45855</v>
      </c>
      <c r="B257" s="30" t="s">
        <v>41</v>
      </c>
      <c r="C257" s="31" t="s">
        <v>46</v>
      </c>
      <c r="D257" s="30"/>
      <c r="E257" s="31"/>
      <c r="F257" s="32"/>
      <c r="G257" s="33"/>
      <c r="H257" s="34"/>
      <c r="I257" s="34"/>
      <c r="J257" s="34"/>
      <c r="K257" s="33"/>
      <c r="L257" s="33"/>
    </row>
    <row r="258" spans="1:12">
      <c r="A258" s="30">
        <v>45856</v>
      </c>
      <c r="B258" s="30" t="s">
        <v>41</v>
      </c>
      <c r="C258" s="31" t="s">
        <v>32</v>
      </c>
      <c r="D258" s="30"/>
      <c r="E258" s="31"/>
      <c r="F258" s="32"/>
      <c r="G258" s="33"/>
      <c r="H258" s="34"/>
      <c r="I258" s="34"/>
      <c r="J258" s="34"/>
      <c r="K258" s="33"/>
      <c r="L258" s="33"/>
    </row>
    <row r="259" spans="1:12">
      <c r="A259" s="30">
        <v>45859</v>
      </c>
      <c r="B259" s="31" t="s">
        <v>41</v>
      </c>
      <c r="C259" s="31" t="s">
        <v>58</v>
      </c>
      <c r="D259" s="31"/>
      <c r="E259" s="31"/>
      <c r="F259" s="32"/>
      <c r="G259" s="33"/>
      <c r="H259" s="33"/>
      <c r="I259" s="33"/>
      <c r="J259" s="33"/>
      <c r="K259" s="33"/>
      <c r="L259" s="33"/>
    </row>
    <row r="260" spans="1:12">
      <c r="A260" s="30">
        <v>45859</v>
      </c>
      <c r="B260" s="31" t="s">
        <v>41</v>
      </c>
      <c r="C260" s="31" t="s">
        <v>46</v>
      </c>
      <c r="D260" s="31"/>
      <c r="E260" s="31"/>
      <c r="F260" s="32"/>
      <c r="G260" s="33"/>
      <c r="H260" s="33"/>
      <c r="I260" s="33"/>
      <c r="J260" s="33"/>
      <c r="K260" s="33"/>
      <c r="L260" s="33"/>
    </row>
    <row r="261" spans="1:12">
      <c r="A261" s="35">
        <v>45863</v>
      </c>
      <c r="B261" s="37" t="s">
        <v>41</v>
      </c>
      <c r="C261" s="37" t="s">
        <v>30</v>
      </c>
      <c r="D261" s="35"/>
      <c r="E261" s="37"/>
      <c r="F261" s="38"/>
      <c r="G261" s="52"/>
      <c r="H261" s="34"/>
      <c r="I261" s="34"/>
      <c r="J261" s="34"/>
      <c r="K261" s="52"/>
      <c r="L261" s="52"/>
    </row>
    <row r="262" spans="1:12">
      <c r="A262" s="47">
        <v>45863</v>
      </c>
      <c r="B262" s="48" t="s">
        <v>41</v>
      </c>
      <c r="C262" s="48" t="s">
        <v>31</v>
      </c>
      <c r="D262" s="47"/>
      <c r="E262" s="48"/>
      <c r="F262" s="49"/>
      <c r="G262" s="50"/>
      <c r="H262" s="34"/>
      <c r="I262" s="34"/>
      <c r="J262" s="34"/>
      <c r="K262" s="50"/>
      <c r="L262" s="50"/>
    </row>
    <row r="263" spans="1:12">
      <c r="A263" s="40">
        <v>45863</v>
      </c>
      <c r="B263" s="42" t="s">
        <v>41</v>
      </c>
      <c r="C263" s="42" t="s">
        <v>32</v>
      </c>
      <c r="D263" s="40"/>
      <c r="E263" s="42"/>
      <c r="F263" s="43"/>
      <c r="G263" s="45"/>
      <c r="H263" s="34"/>
      <c r="I263" s="34"/>
      <c r="J263" s="34"/>
      <c r="K263" s="45"/>
      <c r="L263" s="45"/>
    </row>
    <row r="264" spans="1:12">
      <c r="A264" s="30">
        <v>45860</v>
      </c>
      <c r="B264" s="30" t="s">
        <v>41</v>
      </c>
      <c r="C264" s="31" t="s">
        <v>32</v>
      </c>
      <c r="D264" s="30"/>
      <c r="E264" s="31"/>
      <c r="F264" s="32"/>
      <c r="G264" s="33"/>
      <c r="H264" s="34"/>
      <c r="I264" s="34"/>
      <c r="J264" s="34"/>
      <c r="K264" s="33"/>
      <c r="L264" s="33"/>
    </row>
    <row r="265" spans="1:12">
      <c r="A265" s="93">
        <v>45862</v>
      </c>
      <c r="B265" s="93" t="s">
        <v>41</v>
      </c>
      <c r="C265" s="94" t="s">
        <v>82</v>
      </c>
      <c r="D265" s="93"/>
      <c r="E265" s="94"/>
      <c r="F265" s="95"/>
      <c r="G265" s="96"/>
      <c r="H265" s="96"/>
      <c r="I265" s="96"/>
      <c r="J265" s="96"/>
      <c r="K265" s="96"/>
      <c r="L265" s="96"/>
    </row>
    <row r="266" spans="1:12">
      <c r="A266" s="30">
        <v>45863</v>
      </c>
      <c r="B266" s="46" t="s">
        <v>41</v>
      </c>
      <c r="C266" s="31" t="s">
        <v>38</v>
      </c>
      <c r="D266" s="30"/>
      <c r="E266" s="31"/>
      <c r="F266" s="32"/>
      <c r="G266" s="33"/>
      <c r="H266" s="34"/>
      <c r="I266" s="34"/>
      <c r="J266" s="34"/>
      <c r="K266" s="33"/>
      <c r="L266" s="33"/>
    </row>
    <row r="267" spans="1:12">
      <c r="A267" s="35">
        <v>45863</v>
      </c>
      <c r="B267" s="37" t="s">
        <v>41</v>
      </c>
      <c r="C267" s="37" t="s">
        <v>30</v>
      </c>
      <c r="D267" s="35"/>
      <c r="E267" s="37"/>
      <c r="F267" s="38"/>
      <c r="G267" s="52"/>
      <c r="H267" s="34"/>
      <c r="I267" s="34"/>
      <c r="J267" s="34"/>
      <c r="K267" s="52"/>
      <c r="L267" s="52"/>
    </row>
    <row r="268" spans="1:12">
      <c r="A268" s="47">
        <v>45863</v>
      </c>
      <c r="B268" s="48" t="s">
        <v>41</v>
      </c>
      <c r="C268" s="48" t="s">
        <v>31</v>
      </c>
      <c r="D268" s="47"/>
      <c r="E268" s="48"/>
      <c r="F268" s="49"/>
      <c r="G268" s="50"/>
      <c r="H268" s="34"/>
      <c r="I268" s="34"/>
      <c r="J268" s="34"/>
      <c r="K268" s="45"/>
      <c r="L268" s="45"/>
    </row>
    <row r="269" spans="1:12">
      <c r="A269" s="35">
        <v>45866</v>
      </c>
      <c r="B269" s="37" t="s">
        <v>41</v>
      </c>
      <c r="C269" s="37" t="s">
        <v>30</v>
      </c>
      <c r="D269" s="35"/>
      <c r="E269" s="37"/>
      <c r="F269" s="38"/>
      <c r="G269" s="52"/>
      <c r="H269" s="34"/>
      <c r="I269" s="34"/>
      <c r="J269" s="34"/>
      <c r="K269" s="52"/>
      <c r="L269" s="52"/>
    </row>
    <row r="270" spans="1:12" ht="15" thickBot="1">
      <c r="A270" s="47">
        <v>45866</v>
      </c>
      <c r="B270" s="48" t="s">
        <v>41</v>
      </c>
      <c r="C270" s="48" t="s">
        <v>32</v>
      </c>
      <c r="D270" s="47"/>
      <c r="E270" s="48"/>
      <c r="F270" s="49"/>
      <c r="G270" s="50"/>
      <c r="H270" s="39"/>
      <c r="I270" s="39"/>
      <c r="J270" s="39"/>
      <c r="K270" s="50"/>
      <c r="L270" s="50"/>
    </row>
    <row r="271" spans="1:12">
      <c r="A271" s="103">
        <v>45869</v>
      </c>
      <c r="B271" s="104" t="s">
        <v>41</v>
      </c>
      <c r="C271" s="105" t="s">
        <v>88</v>
      </c>
      <c r="D271" s="104"/>
      <c r="E271" s="105"/>
      <c r="F271" s="106"/>
      <c r="G271" s="107"/>
      <c r="H271" s="107"/>
      <c r="I271" s="107"/>
      <c r="J271" s="107"/>
      <c r="K271" s="107"/>
      <c r="L271" s="108"/>
    </row>
    <row r="272" spans="1:12" ht="15" thickBot="1">
      <c r="A272" s="109">
        <v>45869</v>
      </c>
      <c r="B272" s="110" t="s">
        <v>41</v>
      </c>
      <c r="C272" s="111" t="s">
        <v>88</v>
      </c>
      <c r="D272" s="110"/>
      <c r="E272" s="111"/>
      <c r="F272" s="112"/>
      <c r="G272" s="113"/>
      <c r="H272" s="113"/>
      <c r="I272" s="113"/>
      <c r="J272" s="113"/>
      <c r="K272" s="113"/>
      <c r="L272" s="114"/>
    </row>
    <row r="273" spans="1:12">
      <c r="A273" s="40"/>
      <c r="B273" s="40"/>
      <c r="C273" s="42"/>
      <c r="D273" s="40"/>
      <c r="E273" s="42"/>
      <c r="F273" s="43"/>
      <c r="G273" s="45"/>
      <c r="H273" s="44"/>
      <c r="I273" s="44"/>
      <c r="J273" s="44"/>
      <c r="K273" s="45"/>
      <c r="L273" s="102"/>
    </row>
    <row r="274" spans="1:12">
      <c r="A274" s="30"/>
      <c r="B274" s="30"/>
      <c r="C274" s="31"/>
      <c r="D274" s="30"/>
      <c r="E274" s="31"/>
      <c r="F274" s="32"/>
      <c r="G274" s="56"/>
      <c r="H274" s="34"/>
      <c r="I274" s="34"/>
      <c r="J274" s="34"/>
      <c r="K274" s="31"/>
      <c r="L274" s="26"/>
    </row>
    <row r="275" spans="1:12" ht="15" thickBot="1">
      <c r="A275" s="79" t="s">
        <v>27</v>
      </c>
      <c r="B275" s="79"/>
      <c r="C275" s="79"/>
      <c r="D275" s="79"/>
      <c r="E275" s="79"/>
      <c r="F275" s="79"/>
      <c r="G275" s="54"/>
      <c r="H275" s="55"/>
      <c r="I275" s="55"/>
      <c r="J275" s="55"/>
      <c r="K275" s="54"/>
    </row>
    <row r="276" spans="1:12">
      <c r="A276" s="30"/>
      <c r="B276" s="30"/>
      <c r="C276" s="31"/>
      <c r="D276" s="30"/>
      <c r="E276" s="31"/>
      <c r="F276" s="32"/>
      <c r="G276" s="33"/>
      <c r="H276" s="34"/>
      <c r="I276" s="34"/>
      <c r="J276" s="34"/>
      <c r="K276" s="56"/>
    </row>
    <row r="277" spans="1:12" ht="15" thickBot="1"/>
    <row r="278" spans="1:12" ht="15" thickBot="1">
      <c r="F278" s="58"/>
      <c r="G278" s="59"/>
      <c r="H278" s="60"/>
      <c r="I278" s="60"/>
      <c r="J278" s="60"/>
      <c r="K278" s="61"/>
      <c r="L278" s="61"/>
    </row>
    <row r="279" spans="1:12" ht="15" thickBot="1">
      <c r="B279" s="62"/>
      <c r="F279" s="63"/>
      <c r="G279" s="64"/>
      <c r="H279" s="65"/>
      <c r="I279" s="65"/>
      <c r="J279" s="65"/>
      <c r="K279" s="64"/>
      <c r="L279" s="64"/>
    </row>
    <row r="282" spans="1:12">
      <c r="H282" s="57">
        <f>+H279/0.105</f>
        <v>0</v>
      </c>
      <c r="I282" s="57">
        <f>+I279/0.105</f>
        <v>0</v>
      </c>
    </row>
  </sheetData>
  <mergeCells count="1">
    <mergeCell ref="K2:M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6F9B-61BB-4567-A49F-49DBDD503332}">
  <dimension ref="A1:L44"/>
  <sheetViews>
    <sheetView workbookViewId="0">
      <selection activeCell="F5" sqref="F5"/>
    </sheetView>
  </sheetViews>
  <sheetFormatPr baseColWidth="10" defaultRowHeight="14.25"/>
  <cols>
    <col min="1" max="1" width="13.5" customWidth="1"/>
    <col min="2" max="2" width="13.75" customWidth="1"/>
    <col min="3" max="3" width="12.375" customWidth="1"/>
    <col min="4" max="4" width="8.375" customWidth="1"/>
    <col min="5" max="5" width="18.125" customWidth="1"/>
    <col min="6" max="6" width="17.375" customWidth="1"/>
    <col min="7" max="7" width="15.625" customWidth="1"/>
    <col min="8" max="8" width="16.75" customWidth="1"/>
    <col min="9" max="9" width="6" customWidth="1"/>
    <col min="10" max="10" width="16.75" customWidth="1"/>
    <col min="11" max="11" width="17.875" customWidth="1"/>
    <col min="12" max="12" width="24.125" customWidth="1"/>
  </cols>
  <sheetData>
    <row r="1" spans="1:11" ht="20.25">
      <c r="A1" s="233" t="s">
        <v>9</v>
      </c>
      <c r="B1" s="233"/>
      <c r="C1" s="233"/>
      <c r="D1" s="233"/>
      <c r="E1" s="233"/>
      <c r="F1" s="233"/>
      <c r="G1" s="134"/>
    </row>
    <row r="2" spans="1:11" ht="21" thickBot="1">
      <c r="A2" s="230"/>
      <c r="B2" s="232" t="s">
        <v>0</v>
      </c>
      <c r="C2" s="232"/>
      <c r="D2" s="230"/>
      <c r="E2" s="236" t="s">
        <v>7</v>
      </c>
      <c r="F2" s="237"/>
      <c r="G2" s="238"/>
      <c r="H2" s="230" t="s">
        <v>3</v>
      </c>
      <c r="I2" s="15"/>
      <c r="J2" s="234" t="s">
        <v>207</v>
      </c>
      <c r="K2" s="234"/>
    </row>
    <row r="3" spans="1:11" ht="16.5" thickBot="1">
      <c r="A3" s="16" t="s">
        <v>8</v>
      </c>
      <c r="B3" s="16" t="s">
        <v>1</v>
      </c>
      <c r="C3" s="16" t="s">
        <v>2</v>
      </c>
      <c r="D3" s="16" t="s">
        <v>5</v>
      </c>
      <c r="E3" s="16" t="s">
        <v>4</v>
      </c>
      <c r="F3" s="137" t="s">
        <v>6</v>
      </c>
      <c r="G3" s="139" t="s">
        <v>123</v>
      </c>
      <c r="H3" s="138" t="s">
        <v>13</v>
      </c>
      <c r="I3" s="24"/>
    </row>
    <row r="4" spans="1:11" ht="21" customHeight="1" thickBot="1">
      <c r="A4" s="14">
        <v>46082</v>
      </c>
      <c r="B4" s="8">
        <f>6+2+12+8+6+12+6+2+2+8+6+7+4</f>
        <v>81</v>
      </c>
      <c r="C4" s="8">
        <f>8+12+6+6+12+6+2+2+4+10+6+2</f>
        <v>76</v>
      </c>
      <c r="D4" s="8">
        <v>1</v>
      </c>
      <c r="E4" s="69">
        <f>28000+9000+15000+15600</f>
        <v>67600</v>
      </c>
      <c r="F4" s="17">
        <f>6600+3000+6400+8800+7700+7400</f>
        <v>39900</v>
      </c>
      <c r="G4" s="135">
        <f>25200+16800+11200+12600+42000+21000+11200</f>
        <v>140000</v>
      </c>
      <c r="H4" s="20">
        <f>E4+F4</f>
        <v>107500</v>
      </c>
      <c r="I4" s="28"/>
      <c r="J4" s="11" t="s">
        <v>10</v>
      </c>
      <c r="K4" s="12">
        <f>SUMIF(F4:F31,"&gt;0")</f>
        <v>46500</v>
      </c>
    </row>
    <row r="5" spans="1:11" ht="21" customHeight="1" thickBot="1">
      <c r="A5" s="14">
        <v>46083</v>
      </c>
      <c r="B5" s="8"/>
      <c r="C5" s="8"/>
      <c r="D5" s="8"/>
      <c r="E5" s="69"/>
      <c r="F5" s="18"/>
      <c r="G5" s="135"/>
      <c r="H5" s="20"/>
      <c r="I5" s="28"/>
      <c r="J5" s="11" t="s">
        <v>11</v>
      </c>
      <c r="K5" s="13">
        <f>SUMIF(E4:E31,"&gt;0")</f>
        <v>93000</v>
      </c>
    </row>
    <row r="6" spans="1:11" ht="21" customHeight="1" thickBot="1">
      <c r="A6" s="14">
        <v>46084</v>
      </c>
      <c r="B6" s="8">
        <f>6+4+6</f>
        <v>16</v>
      </c>
      <c r="C6" s="8">
        <f>6+2</f>
        <v>8</v>
      </c>
      <c r="D6" s="8">
        <v>2</v>
      </c>
      <c r="E6" s="69">
        <f>15600+9800</f>
        <v>25400</v>
      </c>
      <c r="F6" s="18">
        <v>6600</v>
      </c>
      <c r="G6" s="135"/>
      <c r="H6" s="20"/>
      <c r="I6" s="28"/>
      <c r="J6" s="11" t="s">
        <v>124</v>
      </c>
      <c r="K6" s="136">
        <f>SUMIF(G4:G34,"&gt;0")</f>
        <v>140000</v>
      </c>
    </row>
    <row r="7" spans="1:11" ht="21" customHeight="1" thickBot="1">
      <c r="A7" s="14">
        <v>46085</v>
      </c>
      <c r="B7" s="8"/>
      <c r="C7" s="8"/>
      <c r="D7" s="8"/>
      <c r="E7" s="69"/>
      <c r="F7" s="19"/>
      <c r="G7" s="135"/>
      <c r="H7" s="20"/>
      <c r="I7" s="28"/>
      <c r="J7" s="179" t="s">
        <v>3</v>
      </c>
      <c r="K7" s="131">
        <f>K4+K5+K6</f>
        <v>279500</v>
      </c>
    </row>
    <row r="8" spans="1:11" ht="21" customHeight="1" thickBot="1">
      <c r="A8" s="14">
        <v>46086</v>
      </c>
      <c r="B8" s="8"/>
      <c r="C8" s="8"/>
      <c r="D8" s="8"/>
      <c r="E8" s="69"/>
      <c r="F8" s="19"/>
      <c r="G8" s="136"/>
      <c r="H8" s="20"/>
    </row>
    <row r="9" spans="1:11" ht="21" customHeight="1" thickBot="1">
      <c r="A9" s="14">
        <v>46087</v>
      </c>
      <c r="B9" s="8"/>
      <c r="C9" s="8"/>
      <c r="D9" s="8"/>
      <c r="E9" s="69"/>
      <c r="F9" s="100"/>
      <c r="G9" s="136"/>
      <c r="H9" s="20"/>
      <c r="J9" s="234" t="s">
        <v>14</v>
      </c>
      <c r="K9" s="234"/>
    </row>
    <row r="10" spans="1:11" ht="21" customHeight="1" thickBot="1">
      <c r="A10" s="14">
        <v>46088</v>
      </c>
      <c r="B10" s="8"/>
      <c r="C10" s="8"/>
      <c r="D10" s="8"/>
      <c r="E10" s="69"/>
      <c r="F10" s="100"/>
      <c r="G10" s="136"/>
      <c r="H10" s="20"/>
      <c r="J10" s="27" t="s">
        <v>1</v>
      </c>
      <c r="K10" s="27" t="s">
        <v>2</v>
      </c>
    </row>
    <row r="11" spans="1:11" ht="21" customHeight="1" thickBot="1">
      <c r="A11" s="14">
        <v>46089</v>
      </c>
      <c r="B11" s="8"/>
      <c r="C11" s="8"/>
      <c r="D11" s="8"/>
      <c r="E11" s="69"/>
      <c r="F11" s="100"/>
      <c r="G11" s="136"/>
      <c r="H11" s="20"/>
      <c r="J11" s="29">
        <f>SUM(B4:B33)</f>
        <v>97</v>
      </c>
      <c r="K11" s="29">
        <f>SUM(C4:C33)</f>
        <v>84</v>
      </c>
    </row>
    <row r="12" spans="1:11" ht="21" customHeight="1" thickBot="1">
      <c r="A12" s="14">
        <v>46090</v>
      </c>
      <c r="B12" s="8"/>
      <c r="C12" s="8"/>
      <c r="D12" s="8"/>
      <c r="E12" s="69"/>
      <c r="F12" s="100"/>
      <c r="G12" s="136"/>
      <c r="H12" s="20"/>
    </row>
    <row r="13" spans="1:11" ht="21" customHeight="1" thickBot="1">
      <c r="A13" s="14">
        <v>46091</v>
      </c>
      <c r="B13" s="8"/>
      <c r="C13" s="8"/>
      <c r="D13" s="8"/>
      <c r="E13" s="69"/>
      <c r="F13" s="100"/>
      <c r="G13" s="136"/>
      <c r="H13" s="20"/>
    </row>
    <row r="14" spans="1:11" ht="21" customHeight="1" thickBot="1">
      <c r="A14" s="14">
        <v>46092</v>
      </c>
      <c r="B14" s="8"/>
      <c r="C14" s="8"/>
      <c r="D14" s="8"/>
      <c r="E14" s="69"/>
      <c r="F14" s="100"/>
      <c r="G14" s="136"/>
      <c r="H14" s="20"/>
      <c r="J14" s="97"/>
      <c r="K14" s="131"/>
    </row>
    <row r="15" spans="1:11" ht="21" customHeight="1" thickBot="1">
      <c r="A15" s="14">
        <v>46093</v>
      </c>
      <c r="B15" s="8"/>
      <c r="C15" s="8"/>
      <c r="D15" s="8"/>
      <c r="E15" s="69"/>
      <c r="F15" s="19"/>
      <c r="G15" s="136"/>
      <c r="H15" s="20"/>
      <c r="K15" s="131"/>
    </row>
    <row r="16" spans="1:11" ht="21" customHeight="1" thickBot="1">
      <c r="A16" s="14">
        <v>46094</v>
      </c>
      <c r="B16" s="8"/>
      <c r="C16" s="8"/>
      <c r="D16" s="8"/>
      <c r="E16" s="69"/>
      <c r="F16" s="19"/>
      <c r="G16" s="136"/>
      <c r="H16" s="20"/>
    </row>
    <row r="17" spans="1:12" ht="21" customHeight="1" thickBot="1">
      <c r="A17" s="14">
        <v>46095</v>
      </c>
      <c r="B17" s="8"/>
      <c r="C17" s="8"/>
      <c r="D17" s="8"/>
      <c r="E17" s="69"/>
      <c r="F17" s="19"/>
      <c r="G17" s="136"/>
      <c r="H17" s="20"/>
      <c r="L17" s="131"/>
    </row>
    <row r="18" spans="1:12" ht="21" customHeight="1" thickBot="1">
      <c r="A18" s="14">
        <v>46096</v>
      </c>
      <c r="B18" s="8"/>
      <c r="C18" s="8"/>
      <c r="D18" s="8"/>
      <c r="E18" s="69"/>
      <c r="F18" s="19"/>
      <c r="G18" s="136"/>
      <c r="H18" s="20"/>
    </row>
    <row r="19" spans="1:12" ht="21" customHeight="1" thickBot="1">
      <c r="A19" s="14">
        <v>46097</v>
      </c>
      <c r="B19" s="8"/>
      <c r="C19" s="8"/>
      <c r="D19" s="8"/>
      <c r="E19" s="69"/>
      <c r="F19" s="19"/>
      <c r="G19" s="136"/>
      <c r="H19" s="20"/>
    </row>
    <row r="20" spans="1:12" ht="21" customHeight="1" thickBot="1">
      <c r="A20" s="14">
        <v>46098</v>
      </c>
      <c r="B20" s="8"/>
      <c r="C20" s="8"/>
      <c r="D20" s="8"/>
      <c r="E20" s="69"/>
      <c r="F20" s="19"/>
      <c r="G20" s="136"/>
      <c r="H20" s="20"/>
    </row>
    <row r="21" spans="1:12" ht="21" customHeight="1" thickBot="1">
      <c r="A21" s="14">
        <v>46099</v>
      </c>
      <c r="B21" s="8"/>
      <c r="C21" s="8"/>
      <c r="D21" s="8"/>
      <c r="E21" s="69"/>
      <c r="F21" s="19"/>
      <c r="G21" s="136"/>
      <c r="H21" s="20"/>
    </row>
    <row r="22" spans="1:12" ht="21" customHeight="1" thickBot="1">
      <c r="A22" s="14">
        <v>46100</v>
      </c>
      <c r="B22" s="8"/>
      <c r="C22" s="8"/>
      <c r="D22" s="8"/>
      <c r="E22" s="69"/>
      <c r="F22" s="19"/>
      <c r="G22" s="136"/>
      <c r="H22" s="20"/>
    </row>
    <row r="23" spans="1:12" ht="21" customHeight="1" thickBot="1">
      <c r="A23" s="14">
        <v>46101</v>
      </c>
      <c r="B23" s="8"/>
      <c r="C23" s="8"/>
      <c r="D23" s="8"/>
      <c r="E23" s="69"/>
      <c r="F23" s="19"/>
      <c r="G23" s="136"/>
      <c r="H23" s="20"/>
    </row>
    <row r="24" spans="1:12" ht="21" customHeight="1" thickBot="1">
      <c r="A24" s="14">
        <v>46102</v>
      </c>
      <c r="B24" s="8"/>
      <c r="C24" s="8"/>
      <c r="D24" s="8"/>
      <c r="E24" s="69"/>
      <c r="F24" s="19"/>
      <c r="G24" s="136"/>
      <c r="H24" s="20"/>
    </row>
    <row r="25" spans="1:12" ht="21" customHeight="1" thickBot="1">
      <c r="A25" s="14">
        <v>46103</v>
      </c>
      <c r="B25" s="8"/>
      <c r="C25" s="8"/>
      <c r="D25" s="8"/>
      <c r="E25" s="69"/>
      <c r="F25" s="19"/>
      <c r="G25" s="136"/>
      <c r="H25" s="20"/>
    </row>
    <row r="26" spans="1:12" ht="21" customHeight="1" thickBot="1">
      <c r="A26" s="14">
        <v>46104</v>
      </c>
      <c r="B26" s="8"/>
      <c r="C26" s="8"/>
      <c r="D26" s="8"/>
      <c r="E26" s="69"/>
      <c r="F26" s="19"/>
      <c r="G26" s="136"/>
      <c r="H26" s="20"/>
    </row>
    <row r="27" spans="1:12" ht="21" customHeight="1" thickBot="1">
      <c r="A27" s="14">
        <v>46105</v>
      </c>
      <c r="B27" s="8"/>
      <c r="C27" s="8"/>
      <c r="D27" s="8"/>
      <c r="E27" s="69"/>
      <c r="F27" s="19"/>
      <c r="G27" s="136"/>
      <c r="H27" s="20"/>
    </row>
    <row r="28" spans="1:12" ht="21" customHeight="1" thickBot="1">
      <c r="A28" s="14">
        <v>46106</v>
      </c>
      <c r="B28" s="8"/>
      <c r="C28" s="8"/>
      <c r="D28" s="8"/>
      <c r="E28" s="69"/>
      <c r="F28" s="19"/>
      <c r="G28" s="136"/>
      <c r="H28" s="20"/>
    </row>
    <row r="29" spans="1:12" ht="21" customHeight="1" thickBot="1">
      <c r="A29" s="14">
        <v>46107</v>
      </c>
      <c r="B29" s="8"/>
      <c r="C29" s="8"/>
      <c r="D29" s="8"/>
      <c r="E29" s="69"/>
      <c r="F29" s="19"/>
      <c r="G29" s="136"/>
      <c r="H29" s="20"/>
    </row>
    <row r="30" spans="1:12" ht="21" customHeight="1" thickBot="1">
      <c r="A30" s="14">
        <v>46108</v>
      </c>
      <c r="B30" s="8"/>
      <c r="C30" s="8"/>
      <c r="D30" s="8"/>
      <c r="E30" s="69"/>
      <c r="F30" s="19"/>
      <c r="G30" s="136"/>
      <c r="H30" s="20"/>
    </row>
    <row r="31" spans="1:12" ht="21" customHeight="1" thickBot="1">
      <c r="A31" s="14">
        <v>46109</v>
      </c>
      <c r="B31" s="8"/>
      <c r="C31" s="8"/>
      <c r="D31" s="8"/>
      <c r="E31" s="69"/>
      <c r="F31" s="19"/>
      <c r="G31" s="136"/>
      <c r="H31" s="20"/>
    </row>
    <row r="32" spans="1:12" ht="21" customHeight="1" thickBot="1">
      <c r="A32" s="14">
        <v>46110</v>
      </c>
      <c r="B32" s="8"/>
      <c r="C32" s="8"/>
      <c r="D32" s="8"/>
      <c r="E32" s="69"/>
      <c r="F32" s="19"/>
      <c r="G32" s="136"/>
      <c r="H32" s="20">
        <f>E32+F32</f>
        <v>0</v>
      </c>
    </row>
    <row r="33" spans="1:8" ht="21" customHeight="1" thickBot="1">
      <c r="A33" s="14">
        <v>46111</v>
      </c>
      <c r="B33" s="8"/>
      <c r="C33" s="8"/>
      <c r="D33" s="8"/>
      <c r="E33" s="69"/>
      <c r="F33" s="19"/>
      <c r="G33" s="136"/>
      <c r="H33" s="20">
        <f>E33+F33</f>
        <v>0</v>
      </c>
    </row>
    <row r="34" spans="1:8" ht="21" customHeight="1" thickBot="1">
      <c r="A34" s="14">
        <v>46112</v>
      </c>
      <c r="B34" s="8"/>
      <c r="C34" s="8"/>
      <c r="D34" s="8"/>
      <c r="E34" s="69"/>
      <c r="F34" s="19"/>
      <c r="G34" s="136"/>
      <c r="H34" s="20">
        <f>E34+F34</f>
        <v>0</v>
      </c>
    </row>
    <row r="35" spans="1:8" ht="21" customHeight="1">
      <c r="A35" s="14"/>
      <c r="B35" s="9"/>
      <c r="C35" s="9"/>
      <c r="D35" s="9"/>
      <c r="E35" s="9"/>
      <c r="F35" s="9"/>
      <c r="G35" s="9"/>
    </row>
    <row r="36" spans="1:8" ht="21" customHeight="1">
      <c r="A36" s="14"/>
      <c r="B36" s="9"/>
      <c r="C36" s="9"/>
      <c r="D36" s="9"/>
      <c r="E36" s="9"/>
      <c r="F36" s="9"/>
      <c r="G36" s="9"/>
    </row>
    <row r="37" spans="1:8" ht="21" customHeight="1">
      <c r="A37" s="14"/>
      <c r="B37" s="9"/>
      <c r="C37" s="9"/>
      <c r="D37" s="9"/>
      <c r="E37" s="9"/>
      <c r="F37" s="9"/>
      <c r="G37" s="9"/>
    </row>
    <row r="38" spans="1:8" ht="21" customHeight="1">
      <c r="A38" s="14"/>
      <c r="B38" s="9"/>
      <c r="C38" s="9"/>
      <c r="D38" s="9"/>
      <c r="E38" s="9"/>
      <c r="F38" s="9"/>
      <c r="G38" s="9"/>
    </row>
    <row r="39" spans="1:8" ht="21" customHeight="1">
      <c r="A39" s="14"/>
      <c r="B39" s="9"/>
      <c r="C39" s="9"/>
      <c r="D39" s="9"/>
      <c r="E39" s="9"/>
      <c r="F39" s="9"/>
      <c r="G39" s="9"/>
    </row>
    <row r="40" spans="1:8" ht="21" customHeight="1">
      <c r="A40" s="14"/>
      <c r="B40" s="9"/>
      <c r="C40" s="9"/>
      <c r="D40" s="9"/>
      <c r="E40" s="9"/>
      <c r="F40" s="9"/>
      <c r="G40" s="9"/>
    </row>
    <row r="41" spans="1:8" ht="21" customHeight="1">
      <c r="A41" s="9"/>
      <c r="B41" s="9"/>
      <c r="C41" s="9"/>
      <c r="D41" s="9"/>
      <c r="E41" s="9"/>
      <c r="F41" s="9"/>
      <c r="G41" s="9"/>
    </row>
    <row r="42" spans="1:8" ht="20.25">
      <c r="A42" s="7"/>
      <c r="B42" s="7"/>
      <c r="C42" s="7"/>
      <c r="D42" s="7"/>
      <c r="E42" s="7"/>
      <c r="F42" s="7"/>
      <c r="G42" s="7"/>
    </row>
    <row r="43" spans="1:8" ht="20.25">
      <c r="A43" s="7"/>
      <c r="B43" s="7"/>
      <c r="C43" s="7"/>
      <c r="D43" s="7"/>
      <c r="E43" s="7"/>
      <c r="F43" s="7"/>
      <c r="G43" s="7"/>
    </row>
    <row r="44" spans="1:8" ht="20.25">
      <c r="A44" s="7"/>
      <c r="B44" s="7"/>
      <c r="C44" s="7"/>
      <c r="D44" s="7"/>
      <c r="E44" s="7"/>
      <c r="F44" s="7"/>
      <c r="G44" s="7"/>
    </row>
  </sheetData>
  <mergeCells count="5">
    <mergeCell ref="A1:F1"/>
    <mergeCell ref="B2:C2"/>
    <mergeCell ref="E2:G2"/>
    <mergeCell ref="J2:K2"/>
    <mergeCell ref="J9:K9"/>
  </mergeCells>
  <pageMargins left="0.7" right="0.7" top="0.75" bottom="0.75" header="0.3" footer="0.3"/>
  <pageSetup orientation="portrait" copies="2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68"/>
  <sheetViews>
    <sheetView tabSelected="1" zoomScale="82" zoomScaleNormal="82" workbookViewId="0">
      <pane ySplit="6" topLeftCell="A229" activePane="bottomLeft" state="frozen"/>
      <selection activeCell="F39" sqref="F39"/>
      <selection pane="bottomLeft" activeCell="E238" sqref="E238"/>
    </sheetView>
  </sheetViews>
  <sheetFormatPr baseColWidth="10" defaultRowHeight="14.25"/>
  <cols>
    <col min="1" max="1" width="15.875" customWidth="1"/>
    <col min="2" max="2" width="16.375" customWidth="1"/>
    <col min="3" max="7" width="19.875" customWidth="1"/>
    <col min="8" max="8" width="16.75" customWidth="1"/>
    <col min="9" max="9" width="14.25" customWidth="1"/>
    <col min="10" max="10" width="16.75" customWidth="1"/>
    <col min="11" max="11" width="17.875" customWidth="1"/>
    <col min="12" max="12" width="24.125" customWidth="1"/>
    <col min="13" max="13" width="15.125" customWidth="1"/>
  </cols>
  <sheetData>
    <row r="1" spans="1:13" ht="27.75" customHeight="1">
      <c r="A1" s="78"/>
      <c r="B1" s="78"/>
      <c r="C1" s="78"/>
      <c r="D1" s="78"/>
      <c r="E1" s="78"/>
      <c r="F1" s="78"/>
      <c r="G1" s="78"/>
      <c r="H1" s="78"/>
      <c r="I1" s="78"/>
      <c r="J1" s="77" t="s">
        <v>94</v>
      </c>
      <c r="K1" s="78"/>
    </row>
    <row r="2" spans="1:13" ht="15.75">
      <c r="A2" s="78"/>
      <c r="B2" s="78"/>
      <c r="C2" s="78"/>
      <c r="D2" s="78"/>
      <c r="E2" s="78"/>
      <c r="F2" s="78"/>
      <c r="G2" s="78"/>
      <c r="H2" s="78"/>
      <c r="I2" s="78"/>
      <c r="J2" s="141" t="s">
        <v>10</v>
      </c>
      <c r="K2" s="12">
        <f>SUMIF(C5:C241,"&lt;&gt;0")-SUMIF(F5:F241,"&lt;&gt;0")</f>
        <v>47060.279999999329</v>
      </c>
      <c r="L2" s="126"/>
    </row>
    <row r="3" spans="1:13" ht="15.75">
      <c r="A3" s="78"/>
      <c r="B3" s="78"/>
      <c r="C3" s="78"/>
      <c r="D3" s="78"/>
      <c r="E3" s="78"/>
      <c r="F3" s="78"/>
      <c r="G3" s="78"/>
      <c r="H3" s="78"/>
      <c r="I3" s="78"/>
      <c r="J3" s="141" t="s">
        <v>125</v>
      </c>
      <c r="K3" s="13">
        <f>SUMIF(B7:B240,"&lt;&gt;0")-SUMIF(E7:E240,"&lt;&gt;0")</f>
        <v>191100</v>
      </c>
      <c r="L3" s="126"/>
    </row>
    <row r="4" spans="1:13" ht="16.5" thickBot="1">
      <c r="A4" s="78"/>
      <c r="B4" s="78"/>
      <c r="C4" s="78"/>
      <c r="D4" s="78"/>
      <c r="E4" s="78"/>
      <c r="F4" s="78"/>
      <c r="G4" s="78"/>
      <c r="H4" s="78"/>
      <c r="I4" s="78"/>
      <c r="J4" s="141" t="s">
        <v>126</v>
      </c>
      <c r="K4" s="136">
        <f>SUMIF(D7:D241,"&lt;&gt;0")-SUMIF(G7:G241,"&lt;&gt;0")+9960.05+3359.82+1000</f>
        <v>8969.8200000001852</v>
      </c>
      <c r="L4" s="126"/>
    </row>
    <row r="5" spans="1:13" ht="20.25">
      <c r="A5" s="6"/>
      <c r="B5" s="239" t="s">
        <v>74</v>
      </c>
      <c r="C5" s="240"/>
      <c r="D5" s="140"/>
      <c r="E5" s="239" t="s">
        <v>75</v>
      </c>
      <c r="F5" s="242"/>
      <c r="G5" s="240"/>
      <c r="H5" s="76" t="s">
        <v>3</v>
      </c>
      <c r="I5" s="15"/>
      <c r="J5" s="121" t="s">
        <v>117</v>
      </c>
      <c r="K5" s="99">
        <v>-23000</v>
      </c>
      <c r="L5" s="97"/>
      <c r="M5" s="97"/>
    </row>
    <row r="6" spans="1:13" ht="16.5" thickBot="1">
      <c r="A6" s="74" t="s">
        <v>8</v>
      </c>
      <c r="B6" s="74" t="s">
        <v>4</v>
      </c>
      <c r="C6" s="27" t="s">
        <v>6</v>
      </c>
      <c r="D6" s="136" t="s">
        <v>126</v>
      </c>
      <c r="E6" s="74" t="s">
        <v>4</v>
      </c>
      <c r="F6" s="27" t="s">
        <v>6</v>
      </c>
      <c r="G6" s="136" t="s">
        <v>126</v>
      </c>
      <c r="H6" s="75" t="s">
        <v>13</v>
      </c>
      <c r="I6" s="24"/>
      <c r="J6" s="121" t="s">
        <v>118</v>
      </c>
      <c r="K6" s="99">
        <v>0</v>
      </c>
      <c r="L6" s="99"/>
    </row>
    <row r="7" spans="1:13" ht="21" customHeight="1" thickBot="1">
      <c r="A7" s="14">
        <v>45854</v>
      </c>
      <c r="B7" s="69">
        <f>'VENTAS JULIO'!E4</f>
        <v>25300</v>
      </c>
      <c r="C7" s="69">
        <f>'VENTAS JULIO'!F4</f>
        <v>37500</v>
      </c>
      <c r="D7" s="69"/>
      <c r="E7" s="73">
        <v>0</v>
      </c>
      <c r="F7" s="73">
        <v>0</v>
      </c>
      <c r="G7" s="73"/>
      <c r="H7" s="71">
        <f>B7+C7</f>
        <v>62800</v>
      </c>
      <c r="I7" s="28"/>
      <c r="K7" s="131">
        <v>-52000</v>
      </c>
      <c r="L7" s="97"/>
    </row>
    <row r="8" spans="1:13" ht="21" customHeight="1" thickBot="1">
      <c r="A8" s="14">
        <v>45855</v>
      </c>
      <c r="B8" s="69">
        <f>'VENTAS JULIO'!E5</f>
        <v>15000</v>
      </c>
      <c r="C8" s="69">
        <f>'VENTAS JULIO'!F5</f>
        <v>17700</v>
      </c>
      <c r="D8" s="69"/>
      <c r="E8" s="73">
        <f>'GASTOS JULIO'!K19+'GASTOS JULIO'!K20</f>
        <v>0</v>
      </c>
      <c r="F8" s="73">
        <f>'GASTOS JULIO'!L19+'GASTOS JULIO'!L20</f>
        <v>33700</v>
      </c>
      <c r="G8" s="73"/>
      <c r="H8" s="72">
        <f>B8+C8-E8-F8</f>
        <v>-1000</v>
      </c>
      <c r="I8" s="28"/>
      <c r="J8" s="97"/>
      <c r="L8" s="97"/>
      <c r="M8" s="97"/>
    </row>
    <row r="9" spans="1:13" ht="21" customHeight="1" thickBot="1">
      <c r="A9" s="14">
        <v>45856</v>
      </c>
      <c r="B9" s="69">
        <f>'VENTAS JULIO'!E6</f>
        <v>46000</v>
      </c>
      <c r="C9" s="69">
        <f>'VENTAS JULIO'!F6</f>
        <v>21000</v>
      </c>
      <c r="D9" s="69"/>
      <c r="E9" s="73">
        <f>'GASTOS JULIO'!K21</f>
        <v>25000</v>
      </c>
      <c r="F9" s="73">
        <f>'GASTOS JULIO'!L21</f>
        <v>0</v>
      </c>
      <c r="G9" s="73"/>
      <c r="H9" s="72">
        <f t="shared" ref="H9" si="0">B9+C9-E9-F9</f>
        <v>42000</v>
      </c>
      <c r="I9" s="28"/>
      <c r="K9" s="131">
        <f>K3+K5+K6+K7-69500</f>
        <v>46600</v>
      </c>
      <c r="L9" s="97"/>
    </row>
    <row r="10" spans="1:13" ht="21" customHeight="1" thickBot="1">
      <c r="A10" s="14">
        <v>45857</v>
      </c>
      <c r="B10" s="69">
        <f>'VENTAS JULIO'!E7</f>
        <v>38200</v>
      </c>
      <c r="C10" s="69">
        <f>'VENTAS JULIO'!F7</f>
        <v>124500</v>
      </c>
      <c r="D10" s="69"/>
      <c r="E10" s="73">
        <f>0</f>
        <v>0</v>
      </c>
      <c r="F10" s="73">
        <f>0</f>
        <v>0</v>
      </c>
      <c r="G10" s="73"/>
      <c r="H10" s="72">
        <f t="shared" ref="H10:H15" si="1">B10+C10-E10-F10</f>
        <v>162700</v>
      </c>
      <c r="I10" s="28"/>
      <c r="J10" s="241"/>
      <c r="K10" s="241"/>
    </row>
    <row r="11" spans="1:13" ht="21" customHeight="1" thickBot="1">
      <c r="A11" s="14">
        <v>45858</v>
      </c>
      <c r="B11" s="69">
        <f>'VENTAS JULIO'!E8</f>
        <v>106300</v>
      </c>
      <c r="C11" s="69">
        <f>'VENTAS JULIO'!F8</f>
        <v>97000</v>
      </c>
      <c r="D11" s="69"/>
      <c r="E11" s="73">
        <f>0</f>
        <v>0</v>
      </c>
      <c r="F11" s="73">
        <f>0</f>
        <v>0</v>
      </c>
      <c r="G11" s="73"/>
      <c r="H11" s="72">
        <f t="shared" si="1"/>
        <v>203300</v>
      </c>
      <c r="I11" s="28"/>
      <c r="J11" s="241"/>
      <c r="K11" s="241"/>
    </row>
    <row r="12" spans="1:13" ht="21" customHeight="1" thickBot="1">
      <c r="A12" s="14">
        <v>45859</v>
      </c>
      <c r="B12" s="69">
        <f>'VENTAS JULIO'!E9</f>
        <v>68500</v>
      </c>
      <c r="C12" s="69">
        <f>'VENTAS JULIO'!F9</f>
        <v>8100</v>
      </c>
      <c r="D12" s="69"/>
      <c r="E12" s="73">
        <f>'GASTOS JULIO'!K22</f>
        <v>16000</v>
      </c>
      <c r="F12" s="73">
        <f>'GASTOS JULIO'!L23</f>
        <v>10143.98</v>
      </c>
      <c r="G12" s="73"/>
      <c r="H12" s="72">
        <f t="shared" si="1"/>
        <v>50456.020000000004</v>
      </c>
      <c r="J12" s="201">
        <f>K2-J13</f>
        <v>-51068.220000000671</v>
      </c>
      <c r="K12" s="69">
        <f>1600000</f>
        <v>1600000</v>
      </c>
    </row>
    <row r="13" spans="1:13" ht="21" customHeight="1" thickBot="1">
      <c r="A13" s="14">
        <v>45860</v>
      </c>
      <c r="B13" s="69">
        <f>'VENTAS JULIO'!E10</f>
        <v>92800</v>
      </c>
      <c r="C13" s="69">
        <f>'VENTAS JULIO'!F10</f>
        <v>39100</v>
      </c>
      <c r="D13" s="69"/>
      <c r="E13" s="73">
        <f>'GASTOS JULIO'!K27</f>
        <v>50000</v>
      </c>
      <c r="F13" s="73">
        <f>'GASTOS JULIO'!L24</f>
        <v>0</v>
      </c>
      <c r="G13" s="73"/>
      <c r="H13" s="72">
        <f t="shared" si="1"/>
        <v>81900</v>
      </c>
      <c r="J13" s="202">
        <f>98128.5</f>
        <v>98128.5</v>
      </c>
      <c r="K13" s="98">
        <f>K12/2</f>
        <v>800000</v>
      </c>
    </row>
    <row r="14" spans="1:13" ht="21" customHeight="1" thickBot="1">
      <c r="A14" s="14">
        <v>45861</v>
      </c>
      <c r="B14" s="69">
        <f>'VENTAS JULIO'!E11</f>
        <v>43600</v>
      </c>
      <c r="C14" s="69">
        <f>'VENTAS JULIO'!F11</f>
        <v>55900</v>
      </c>
      <c r="D14" s="69"/>
      <c r="E14" s="73">
        <f>'GASTOS JULIO'!K36</f>
        <v>0</v>
      </c>
      <c r="F14" s="73">
        <f>'GASTOS JULIO'!L25</f>
        <v>0</v>
      </c>
      <c r="G14" s="73"/>
      <c r="H14" s="72">
        <f t="shared" si="1"/>
        <v>99500</v>
      </c>
      <c r="J14" s="98">
        <f>K13-69500</f>
        <v>730500</v>
      </c>
      <c r="K14" s="70"/>
    </row>
    <row r="15" spans="1:13" ht="21" customHeight="1" thickBot="1">
      <c r="A15" s="14">
        <f>'VENTAS JULIO'!A12</f>
        <v>45862</v>
      </c>
      <c r="B15" s="69">
        <f>'VENTAS JULIO'!E12</f>
        <v>26300</v>
      </c>
      <c r="C15" s="69">
        <f>'VENTAS JULIO'!F12</f>
        <v>19900</v>
      </c>
      <c r="D15" s="69"/>
      <c r="E15" s="73">
        <f>'GASTOS JULIO'!K28</f>
        <v>-100000</v>
      </c>
      <c r="F15" s="73">
        <f>'GASTOS JULIO'!L28</f>
        <v>100000</v>
      </c>
      <c r="G15" s="73"/>
      <c r="H15" s="72">
        <f t="shared" si="1"/>
        <v>46200</v>
      </c>
      <c r="J15" s="203">
        <f>J14-J12</f>
        <v>781568.22000000067</v>
      </c>
      <c r="K15" s="204">
        <f>K4-J15</f>
        <v>-772598.40000000049</v>
      </c>
    </row>
    <row r="16" spans="1:13" ht="21" customHeight="1" thickBot="1">
      <c r="A16" s="14">
        <f>'VENTAS JULIO'!A13</f>
        <v>45863</v>
      </c>
      <c r="B16" s="69">
        <f>'VENTAS JULIO'!E13</f>
        <v>56700</v>
      </c>
      <c r="C16" s="69">
        <f>'VENTAS JULIO'!F13</f>
        <v>22600</v>
      </c>
      <c r="D16" s="69"/>
      <c r="E16" s="73">
        <f>'GASTOS JULIO'!K29+'GASTOS JULIO'!K26+'GASTOS JULIO'!K31</f>
        <v>319700</v>
      </c>
      <c r="F16" s="73">
        <f>'GASTOS JULIO'!L29</f>
        <v>0</v>
      </c>
      <c r="G16" s="73"/>
      <c r="H16" s="72">
        <f t="shared" ref="H16" si="2">B16+C16-E16-F16</f>
        <v>-240400</v>
      </c>
      <c r="I16" s="97"/>
      <c r="J16" s="98"/>
      <c r="K16" s="201">
        <f>K13-K15</f>
        <v>1572598.4000000004</v>
      </c>
    </row>
    <row r="17" spans="1:11" ht="21" customHeight="1" thickBot="1">
      <c r="A17" s="14">
        <f>'VENTAS JULIO'!A14</f>
        <v>45864</v>
      </c>
      <c r="B17" s="69">
        <f>'VENTAS JULIO'!E14</f>
        <v>133900</v>
      </c>
      <c r="C17" s="69">
        <f>'VENTAS JULIO'!F14</f>
        <v>60600</v>
      </c>
      <c r="D17" s="69"/>
      <c r="E17" s="73">
        <v>0</v>
      </c>
      <c r="F17" s="73">
        <f>'GASTOS JULIO'!L30</f>
        <v>0</v>
      </c>
      <c r="G17" s="73"/>
      <c r="H17" s="72">
        <f t="shared" ref="H17" si="3">B17+C17-E17-F17</f>
        <v>194500</v>
      </c>
      <c r="I17" s="97"/>
      <c r="J17" s="98">
        <f>J15+J12+69500</f>
        <v>800000</v>
      </c>
      <c r="K17" s="70"/>
    </row>
    <row r="18" spans="1:11" ht="21" customHeight="1" thickBot="1">
      <c r="A18" s="14">
        <f>'VENTAS JULIO'!A15</f>
        <v>45865</v>
      </c>
      <c r="B18" s="69">
        <f>'VENTAS JULIO'!E15</f>
        <v>77200</v>
      </c>
      <c r="C18" s="69">
        <f>'VENTAS JULIO'!F15</f>
        <v>81300</v>
      </c>
      <c r="D18" s="69"/>
      <c r="E18" s="73">
        <v>0</v>
      </c>
      <c r="F18" s="73">
        <f>'GASTOS JULIO'!L31</f>
        <v>0</v>
      </c>
      <c r="G18" s="73"/>
      <c r="H18" s="72">
        <f t="shared" ref="H18" si="4">B18+C18-E18-F18</f>
        <v>158500</v>
      </c>
      <c r="I18" s="97"/>
      <c r="J18" s="98"/>
      <c r="K18" s="70"/>
    </row>
    <row r="19" spans="1:11" ht="21" customHeight="1" thickBot="1">
      <c r="A19" s="14">
        <f>'VENTAS JULIO'!A16</f>
        <v>45866</v>
      </c>
      <c r="B19" s="69">
        <f>'VENTAS JULIO'!E16</f>
        <v>40100</v>
      </c>
      <c r="C19" s="69">
        <f>'VENTAS JULIO'!F16</f>
        <v>17200</v>
      </c>
      <c r="D19" s="69"/>
      <c r="E19" s="73">
        <f>'GASTOS JULIO'!K33</f>
        <v>84900</v>
      </c>
      <c r="F19" s="73">
        <f>'GASTOS JULIO'!L32</f>
        <v>0</v>
      </c>
      <c r="G19" s="73"/>
      <c r="H19" s="72">
        <f t="shared" ref="H19" si="5">B19+C19-E19-F19</f>
        <v>-27600</v>
      </c>
      <c r="I19" s="97"/>
      <c r="J19" s="98"/>
      <c r="K19" s="70"/>
    </row>
    <row r="20" spans="1:11" ht="21" customHeight="1" thickBot="1">
      <c r="A20" s="14">
        <f>'VENTAS JULIO'!A17</f>
        <v>45867</v>
      </c>
      <c r="B20" s="69">
        <f>'VENTAS JULIO'!E17</f>
        <v>37600</v>
      </c>
      <c r="C20" s="69">
        <f>'VENTAS JULIO'!F17</f>
        <v>9600</v>
      </c>
      <c r="D20" s="69"/>
      <c r="E20" s="73">
        <f>'GASTOS JULIO'!K36</f>
        <v>0</v>
      </c>
      <c r="F20" s="73">
        <f>'GASTOS JULIO'!L33</f>
        <v>0</v>
      </c>
      <c r="G20" s="73"/>
      <c r="H20" s="72">
        <f t="shared" ref="H20:H22" si="6">B20+C20-E20-F20</f>
        <v>47200</v>
      </c>
      <c r="I20" s="97"/>
      <c r="J20" s="98"/>
      <c r="K20" s="70"/>
    </row>
    <row r="21" spans="1:11" ht="21" customHeight="1" thickBot="1">
      <c r="A21" s="14">
        <f>'VENTAS JULIO'!A18</f>
        <v>45868</v>
      </c>
      <c r="B21" s="69">
        <f>'VENTAS JULIO'!E18</f>
        <v>27300</v>
      </c>
      <c r="C21" s="69">
        <f>'VENTAS JULIO'!F18</f>
        <v>33500</v>
      </c>
      <c r="D21" s="69"/>
      <c r="E21" s="73">
        <f>'GASTOS JULIO'!K37</f>
        <v>0</v>
      </c>
      <c r="F21" s="73">
        <f>'GASTOS JULIO'!K5+'GASTOS JULIO'!K6+'GASTOS JULIO'!K7+'GASTOS JULIO'!K8+'GASTOS JULIO'!K10+'GASTOS JULIO'!K11+'GASTOS JULIO'!K17+'GASTOS JULIO'!K18</f>
        <v>349675.98</v>
      </c>
      <c r="G21" s="73"/>
      <c r="H21" s="72">
        <f t="shared" si="6"/>
        <v>-288875.98</v>
      </c>
      <c r="I21" s="97"/>
      <c r="J21" s="98"/>
      <c r="K21" s="70"/>
    </row>
    <row r="22" spans="1:11" s="119" customFormat="1" ht="21" customHeight="1" thickBot="1">
      <c r="A22" s="115">
        <f>'VENTAS JULIO'!A19</f>
        <v>45869</v>
      </c>
      <c r="B22" s="116">
        <f>'VENTAS JULIO'!E19</f>
        <v>36200</v>
      </c>
      <c r="C22" s="116">
        <f>'VENTAS JULIO'!F19</f>
        <v>72900</v>
      </c>
      <c r="D22" s="116"/>
      <c r="E22" s="117">
        <f>'GASTOS JULIO'!K34</f>
        <v>200000</v>
      </c>
      <c r="F22" s="117">
        <f>'GASTOS JULIO'!L35</f>
        <v>200000</v>
      </c>
      <c r="G22" s="117"/>
      <c r="H22" s="118">
        <f t="shared" si="6"/>
        <v>-290900</v>
      </c>
      <c r="J22" s="120"/>
      <c r="K22" s="120"/>
    </row>
    <row r="23" spans="1:11" ht="21" customHeight="1" thickTop="1" thickBot="1">
      <c r="A23" s="14">
        <f>'VENTAS AGOSTO'!A4</f>
        <v>45870</v>
      </c>
      <c r="B23" s="69">
        <f>'VENTAS AGOSTO'!E4</f>
        <v>48200</v>
      </c>
      <c r="C23" s="69">
        <f>'VENTAS AGOSTO'!F4</f>
        <v>0</v>
      </c>
      <c r="D23" s="69"/>
      <c r="E23" s="73">
        <f>'GASTOS AGOSTO'!K4</f>
        <v>6000</v>
      </c>
      <c r="F23" s="73">
        <v>0</v>
      </c>
      <c r="G23" s="73"/>
      <c r="H23" s="72">
        <f t="shared" ref="H23" si="7">B23+C23-E23-F23</f>
        <v>42200</v>
      </c>
      <c r="I23" s="97"/>
      <c r="J23" s="98"/>
      <c r="K23" s="70"/>
    </row>
    <row r="24" spans="1:11" ht="21" customHeight="1" thickBot="1">
      <c r="A24" s="14">
        <f>'VENTAS AGOSTO'!A5</f>
        <v>45871</v>
      </c>
      <c r="B24" s="69">
        <f>'VENTAS AGOSTO'!E5</f>
        <v>78200</v>
      </c>
      <c r="C24" s="69">
        <f>'VENTAS AGOSTO'!F5</f>
        <v>45300</v>
      </c>
      <c r="D24" s="69"/>
      <c r="E24" s="73">
        <f>'GASTOS AGOSTO'!K5</f>
        <v>0</v>
      </c>
      <c r="F24" s="73">
        <v>0</v>
      </c>
      <c r="G24" s="73"/>
      <c r="H24" s="72">
        <f t="shared" ref="H24" si="8">B24+C24-E24-F24</f>
        <v>123500</v>
      </c>
      <c r="I24" s="97"/>
      <c r="J24" s="98"/>
      <c r="K24" s="70"/>
    </row>
    <row r="25" spans="1:11" ht="21" customHeight="1" thickBot="1">
      <c r="A25" s="14">
        <f>'VENTAS AGOSTO'!A6</f>
        <v>45872</v>
      </c>
      <c r="B25" s="69">
        <f>'VENTAS AGOSTO'!E6</f>
        <v>70300</v>
      </c>
      <c r="C25" s="69">
        <f>'VENTAS AGOSTO'!F6</f>
        <v>133400</v>
      </c>
      <c r="D25" s="69"/>
      <c r="E25" s="73">
        <v>0</v>
      </c>
      <c r="F25" s="73">
        <v>0</v>
      </c>
      <c r="G25" s="73"/>
      <c r="H25" s="72">
        <f t="shared" ref="H25" si="9">B25+C25-E25-F25</f>
        <v>203700</v>
      </c>
      <c r="I25" s="97"/>
      <c r="J25" s="98"/>
      <c r="K25" s="70"/>
    </row>
    <row r="26" spans="1:11" ht="21" customHeight="1" thickBot="1">
      <c r="A26" s="14">
        <f>'VENTAS AGOSTO'!A7</f>
        <v>45873</v>
      </c>
      <c r="B26" s="69">
        <f>'VENTAS AGOSTO'!E7</f>
        <v>35800</v>
      </c>
      <c r="C26" s="69">
        <f>'VENTAS AGOSTO'!F7</f>
        <v>11700</v>
      </c>
      <c r="D26" s="69"/>
      <c r="E26" s="73">
        <f>'GASTOS AGOSTO'!K6+'GASTOS AGOSTO'!K9</f>
        <v>215500</v>
      </c>
      <c r="F26" s="73">
        <v>0</v>
      </c>
      <c r="G26" s="73"/>
      <c r="H26" s="72">
        <f t="shared" ref="H26:H31" si="10">B26+C26-E26-F26</f>
        <v>-168000</v>
      </c>
    </row>
    <row r="27" spans="1:11" ht="21" customHeight="1" thickBot="1">
      <c r="A27" s="14">
        <f>'VENTAS AGOSTO'!A8</f>
        <v>45874</v>
      </c>
      <c r="B27" s="69">
        <f>'VENTAS AGOSTO'!E8</f>
        <v>24000</v>
      </c>
      <c r="C27" s="69">
        <f>'VENTAS AGOSTO'!F8</f>
        <v>17800</v>
      </c>
      <c r="D27" s="69"/>
      <c r="E27" s="73">
        <f>'GASTOS AGOSTO'!K7+'GASTOS AGOSTO'!K10</f>
        <v>5000</v>
      </c>
      <c r="F27" s="73">
        <v>0</v>
      </c>
      <c r="G27" s="73"/>
      <c r="H27" s="72">
        <f t="shared" si="10"/>
        <v>36800</v>
      </c>
      <c r="K27" s="126"/>
    </row>
    <row r="28" spans="1:11" ht="21" customHeight="1" thickBot="1">
      <c r="A28" s="14">
        <f>'VENTAS AGOSTO'!A9</f>
        <v>45875</v>
      </c>
      <c r="B28" s="69">
        <f>'VENTAS AGOSTO'!E9</f>
        <v>45600</v>
      </c>
      <c r="C28" s="69">
        <f>'VENTAS AGOSTO'!F9</f>
        <v>7200</v>
      </c>
      <c r="D28" s="69"/>
      <c r="E28" s="73">
        <v>0</v>
      </c>
      <c r="F28" s="73">
        <v>0</v>
      </c>
      <c r="G28" s="73"/>
      <c r="H28" s="72">
        <f t="shared" si="10"/>
        <v>52800</v>
      </c>
      <c r="K28" s="126"/>
    </row>
    <row r="29" spans="1:11" ht="21" customHeight="1" thickBot="1">
      <c r="A29" s="14">
        <f>'VENTAS AGOSTO'!A10</f>
        <v>45876</v>
      </c>
      <c r="B29" s="69">
        <f>'VENTAS AGOSTO'!E10</f>
        <v>0</v>
      </c>
      <c r="C29" s="69">
        <f>'VENTAS AGOSTO'!F10</f>
        <v>19200</v>
      </c>
      <c r="D29" s="69"/>
      <c r="E29" s="73">
        <v>0</v>
      </c>
      <c r="F29" s="73">
        <v>0</v>
      </c>
      <c r="G29" s="73"/>
      <c r="H29" s="72">
        <f t="shared" si="10"/>
        <v>19200</v>
      </c>
      <c r="K29" s="126"/>
    </row>
    <row r="30" spans="1:11" ht="21" customHeight="1" thickBot="1">
      <c r="A30" s="14">
        <f>'VENTAS AGOSTO'!A11</f>
        <v>45877</v>
      </c>
      <c r="B30" s="69">
        <f>'VENTAS AGOSTO'!E11</f>
        <v>60900</v>
      </c>
      <c r="C30" s="69">
        <f>'VENTAS AGOSTO'!F11</f>
        <v>27000</v>
      </c>
      <c r="D30" s="69"/>
      <c r="E30" s="73">
        <v>0</v>
      </c>
      <c r="F30" s="73">
        <v>0</v>
      </c>
      <c r="G30" s="73"/>
      <c r="H30" s="72">
        <f t="shared" si="10"/>
        <v>87900</v>
      </c>
    </row>
    <row r="31" spans="1:11" ht="21" customHeight="1" thickBot="1">
      <c r="A31" s="14">
        <f>'VENTAS AGOSTO'!A12</f>
        <v>45878</v>
      </c>
      <c r="B31" s="69">
        <f>'VENTAS AGOSTO'!E12</f>
        <v>82100</v>
      </c>
      <c r="C31" s="69">
        <f>'VENTAS AGOSTO'!F12</f>
        <v>68000</v>
      </c>
      <c r="D31" s="69"/>
      <c r="E31" s="73">
        <v>0</v>
      </c>
      <c r="F31" s="73">
        <v>0</v>
      </c>
      <c r="G31" s="73"/>
      <c r="H31" s="72">
        <f t="shared" si="10"/>
        <v>150100</v>
      </c>
      <c r="K31" s="126"/>
    </row>
    <row r="32" spans="1:11" ht="21" customHeight="1" thickBot="1">
      <c r="A32" s="14">
        <f>'VENTAS AGOSTO'!A13</f>
        <v>45879</v>
      </c>
      <c r="B32" s="69">
        <f>'VENTAS AGOSTO'!E13</f>
        <v>161500</v>
      </c>
      <c r="C32" s="69">
        <f>'VENTAS AGOSTO'!F13</f>
        <v>146700</v>
      </c>
      <c r="D32" s="69"/>
      <c r="E32" s="73">
        <v>0</v>
      </c>
      <c r="F32" s="73">
        <v>0</v>
      </c>
      <c r="G32" s="73"/>
      <c r="H32" s="72">
        <f t="shared" ref="H32" si="11">B32+C32-E32-F32</f>
        <v>308200</v>
      </c>
      <c r="K32" s="126"/>
    </row>
    <row r="33" spans="1:11" ht="21" customHeight="1" thickBot="1">
      <c r="A33" s="14">
        <f>'VENTAS AGOSTO'!A14</f>
        <v>45880</v>
      </c>
      <c r="B33" s="69">
        <f>'VENTAS AGOSTO'!E14</f>
        <v>17600</v>
      </c>
      <c r="C33" s="69">
        <f>'VENTAS AGOSTO'!F14</f>
        <v>6300</v>
      </c>
      <c r="D33" s="69"/>
      <c r="E33" s="73">
        <v>0</v>
      </c>
      <c r="F33" s="73">
        <f>'GASTOS AGOSTO'!L11</f>
        <v>11677.6</v>
      </c>
      <c r="G33" s="73"/>
      <c r="H33" s="72">
        <f t="shared" ref="H33" si="12">B33+C33-E33-F33</f>
        <v>12222.4</v>
      </c>
      <c r="J33" s="126"/>
      <c r="K33" s="126"/>
    </row>
    <row r="34" spans="1:11" ht="21" customHeight="1" thickBot="1">
      <c r="A34" s="14">
        <f>'VENTAS AGOSTO'!A15</f>
        <v>45881</v>
      </c>
      <c r="B34" s="69">
        <f>'VENTAS AGOSTO'!E15</f>
        <v>16300</v>
      </c>
      <c r="C34" s="69">
        <f>'VENTAS AGOSTO'!F15</f>
        <v>0</v>
      </c>
      <c r="D34" s="69"/>
      <c r="E34" s="73">
        <v>0</v>
      </c>
      <c r="F34" s="73">
        <f>'GASTOS AGOSTO'!L36</f>
        <v>0</v>
      </c>
      <c r="G34" s="73"/>
      <c r="H34" s="72">
        <f t="shared" ref="H34" si="13">B34+C34-E34-F34</f>
        <v>16300</v>
      </c>
      <c r="K34" s="126"/>
    </row>
    <row r="35" spans="1:11" ht="21" customHeight="1" thickBot="1">
      <c r="A35" s="14">
        <f>'VENTAS AGOSTO'!A16</f>
        <v>45882</v>
      </c>
      <c r="B35" s="69">
        <f>'VENTAS AGOSTO'!E16</f>
        <v>24100</v>
      </c>
      <c r="C35" s="69">
        <f>'VENTAS AGOSTO'!F16</f>
        <v>2400</v>
      </c>
      <c r="D35" s="69"/>
      <c r="E35" s="73">
        <v>0</v>
      </c>
      <c r="F35" s="73">
        <f>'GASTOS AGOSTO'!L37</f>
        <v>0</v>
      </c>
      <c r="G35" s="73"/>
      <c r="H35" s="72">
        <f t="shared" ref="H35:H36" si="14">B35+C35-E35-F35</f>
        <v>26500</v>
      </c>
    </row>
    <row r="36" spans="1:11" ht="21" customHeight="1" thickBot="1">
      <c r="A36" s="14">
        <f>'VENTAS AGOSTO'!A17</f>
        <v>45883</v>
      </c>
      <c r="B36" s="69">
        <f>'VENTAS AGOSTO'!E17</f>
        <v>27700</v>
      </c>
      <c r="C36" s="69">
        <f>'VENTAS AGOSTO'!F17</f>
        <v>16200</v>
      </c>
      <c r="D36" s="69"/>
      <c r="E36" s="73">
        <f>'GASTOS AGOSTO'!K15+'GASTOS AGOSTO'!K16+'GASTOS AGOSTO'!K17</f>
        <v>387550</v>
      </c>
      <c r="F36" s="73">
        <v>0</v>
      </c>
      <c r="G36" s="73"/>
      <c r="H36" s="72">
        <f t="shared" si="14"/>
        <v>-343650</v>
      </c>
    </row>
    <row r="37" spans="1:11" ht="21" customHeight="1" thickBot="1">
      <c r="A37" s="14">
        <f>'VENTAS AGOSTO'!A18</f>
        <v>45884</v>
      </c>
      <c r="B37" s="69">
        <f>'VENTAS AGOSTO'!E18</f>
        <v>37700</v>
      </c>
      <c r="C37" s="69">
        <f>'VENTAS AGOSTO'!F18</f>
        <v>39900</v>
      </c>
      <c r="D37" s="69"/>
      <c r="E37" s="73">
        <f>'GASTOS AGOSTO'!K18+'GASTOS AGOSTO'!K19</f>
        <v>300000</v>
      </c>
      <c r="F37" s="73">
        <f>'GASTOS AGOSTO'!L18+'GASTOS AGOSTO'!L19</f>
        <v>554000</v>
      </c>
      <c r="G37" s="73"/>
      <c r="H37" s="72">
        <f t="shared" ref="H37" si="15">B37+C37-E37-F37</f>
        <v>-776400</v>
      </c>
      <c r="K37" s="126"/>
    </row>
    <row r="38" spans="1:11" ht="21" customHeight="1" thickBot="1">
      <c r="A38" s="14">
        <f>'VENTAS AGOSTO'!A19</f>
        <v>45885</v>
      </c>
      <c r="B38" s="69">
        <f>'VENTAS AGOSTO'!E19</f>
        <v>46000</v>
      </c>
      <c r="C38" s="69">
        <f>'VENTAS AGOSTO'!F19</f>
        <v>43000</v>
      </c>
      <c r="D38" s="69"/>
      <c r="E38" s="127">
        <f>'GASTOS AGOSTO'!K20</f>
        <v>6500</v>
      </c>
      <c r="F38" s="73">
        <v>0</v>
      </c>
      <c r="G38" s="73"/>
      <c r="H38" s="72">
        <f t="shared" ref="H38" si="16">B38+C38-E38-F38</f>
        <v>82500</v>
      </c>
    </row>
    <row r="39" spans="1:11" ht="21" customHeight="1" thickBot="1">
      <c r="A39" s="14">
        <f>'VENTAS AGOSTO'!A20</f>
        <v>45886</v>
      </c>
      <c r="B39" s="69">
        <f>'VENTAS AGOSTO'!E20</f>
        <v>111300</v>
      </c>
      <c r="C39" s="69">
        <f>'VENTAS AGOSTO'!F20</f>
        <v>79900</v>
      </c>
      <c r="D39" s="69"/>
      <c r="E39" s="127">
        <f>'GASTOS AGOSTO'!K21</f>
        <v>25000</v>
      </c>
      <c r="F39" s="73">
        <v>0</v>
      </c>
      <c r="G39" s="73"/>
      <c r="H39" s="72">
        <f t="shared" ref="H39" si="17">B39+C39-E39-F39</f>
        <v>166200</v>
      </c>
    </row>
    <row r="40" spans="1:11" ht="21" customHeight="1" thickBot="1">
      <c r="A40" s="14">
        <f>'VENTAS AGOSTO'!A21</f>
        <v>45887</v>
      </c>
      <c r="B40" s="69">
        <f>'VENTAS AGOSTO'!E21</f>
        <v>21300</v>
      </c>
      <c r="C40" s="69">
        <f>'VENTAS AGOSTO'!F21</f>
        <v>13500</v>
      </c>
      <c r="D40" s="69"/>
      <c r="E40" s="127">
        <f>'GASTOS AGOSTO'!K22</f>
        <v>16000</v>
      </c>
      <c r="F40" s="73">
        <f>'GASTOS AGOSTO'!L23</f>
        <v>10000</v>
      </c>
      <c r="G40" s="73"/>
      <c r="H40" s="72">
        <f t="shared" ref="H40" si="18">B40+C40-E40-F40</f>
        <v>8800</v>
      </c>
      <c r="K40" s="126"/>
    </row>
    <row r="41" spans="1:11" ht="21" customHeight="1" thickBot="1">
      <c r="A41" s="14">
        <f>'VENTAS AGOSTO'!A22</f>
        <v>45888</v>
      </c>
      <c r="B41" s="69">
        <f>'VENTAS AGOSTO'!E22</f>
        <v>12000</v>
      </c>
      <c r="C41" s="69">
        <f>'VENTAS AGOSTO'!F22</f>
        <v>10500</v>
      </c>
      <c r="D41" s="69"/>
      <c r="E41" s="127">
        <f>'GASTOS AGOSTO'!K24</f>
        <v>85000</v>
      </c>
      <c r="F41" s="73">
        <f>'GASTOS AGOSTO'!L24</f>
        <v>0</v>
      </c>
      <c r="G41" s="73"/>
      <c r="H41" s="72">
        <f t="shared" ref="H41" si="19">B41+C41-E41-F41</f>
        <v>-62500</v>
      </c>
    </row>
    <row r="42" spans="1:11" ht="21" customHeight="1" thickBot="1">
      <c r="A42" s="14">
        <f>'VENTAS AGOSTO'!A23</f>
        <v>45889</v>
      </c>
      <c r="B42" s="69">
        <f>'VENTAS AGOSTO'!E23</f>
        <v>35400</v>
      </c>
      <c r="C42" s="69">
        <f>'VENTAS AGOSTO'!F23</f>
        <v>20800</v>
      </c>
      <c r="D42" s="69"/>
      <c r="E42" s="127">
        <f>'GASTOS AGOSTO'!K36</f>
        <v>0</v>
      </c>
      <c r="F42" s="73">
        <f>'GASTOS AGOSTO'!L36</f>
        <v>0</v>
      </c>
      <c r="G42" s="73"/>
      <c r="H42" s="72">
        <f t="shared" ref="H42" si="20">B42+C42-E42-F42</f>
        <v>56200</v>
      </c>
    </row>
    <row r="43" spans="1:11" ht="21" customHeight="1" thickBot="1">
      <c r="A43" s="14">
        <f>'VENTAS AGOSTO'!A24</f>
        <v>45890</v>
      </c>
      <c r="B43" s="69">
        <f>'VENTAS AGOSTO'!E24</f>
        <v>59500</v>
      </c>
      <c r="C43" s="69">
        <f>'VENTAS AGOSTO'!F24</f>
        <v>0</v>
      </c>
      <c r="D43" s="69"/>
      <c r="E43" s="127">
        <f>'GASTOS AGOSTO'!G25</f>
        <v>35000</v>
      </c>
      <c r="F43" s="73">
        <f>'GASTOS AGOSTO'!L37</f>
        <v>0</v>
      </c>
      <c r="G43" s="73"/>
      <c r="H43" s="72">
        <f t="shared" ref="H43" si="21">B43+C43-E43-F43</f>
        <v>24500</v>
      </c>
      <c r="K43" s="131"/>
    </row>
    <row r="44" spans="1:11" ht="21" customHeight="1" thickBot="1">
      <c r="A44" s="14">
        <f>'VENTAS AGOSTO'!A25</f>
        <v>45891</v>
      </c>
      <c r="B44" s="69">
        <f>'VENTAS AGOSTO'!E25</f>
        <v>31200</v>
      </c>
      <c r="C44" s="69">
        <f>'VENTAS AGOSTO'!F25</f>
        <v>70800</v>
      </c>
      <c r="D44" s="69"/>
      <c r="E44" s="127">
        <f>'GASTOS AGOSTO'!G36</f>
        <v>0</v>
      </c>
      <c r="F44" s="73">
        <f>'GASTOS AGOSTO'!L38</f>
        <v>0</v>
      </c>
      <c r="G44" s="73"/>
      <c r="H44" s="72">
        <f t="shared" ref="H44" si="22">B44+C44-E44-F44</f>
        <v>102000</v>
      </c>
    </row>
    <row r="45" spans="1:11" ht="21" customHeight="1" thickBot="1">
      <c r="A45" s="14">
        <f>'VENTAS AGOSTO'!A26</f>
        <v>45892</v>
      </c>
      <c r="B45" s="69">
        <f>'VENTAS AGOSTO'!E26</f>
        <v>155600</v>
      </c>
      <c r="C45" s="69">
        <f>'VENTAS AGOSTO'!F26</f>
        <v>32800</v>
      </c>
      <c r="D45" s="69"/>
      <c r="E45" s="127">
        <f>'GASTOS AGOSTO'!G37</f>
        <v>0</v>
      </c>
      <c r="F45" s="73">
        <f>'GASTOS AGOSTO'!L39</f>
        <v>0</v>
      </c>
      <c r="G45" s="73"/>
      <c r="H45" s="72">
        <f t="shared" ref="H45" si="23">B45+C45-E45-F45</f>
        <v>188400</v>
      </c>
    </row>
    <row r="46" spans="1:11" ht="21" customHeight="1" thickBot="1">
      <c r="A46" s="14">
        <f>'VENTAS AGOSTO'!A27</f>
        <v>45893</v>
      </c>
      <c r="B46" s="69">
        <f>'VENTAS AGOSTO'!E27</f>
        <v>148500</v>
      </c>
      <c r="C46" s="69">
        <f>'VENTAS AGOSTO'!F27</f>
        <v>60500</v>
      </c>
      <c r="D46" s="69"/>
      <c r="E46" s="127">
        <f>'GASTOS AGOSTO'!G26</f>
        <v>25000</v>
      </c>
      <c r="F46" s="73">
        <f>'GASTOS AGOSTO'!L40</f>
        <v>0</v>
      </c>
      <c r="G46" s="73"/>
      <c r="H46" s="72">
        <f t="shared" ref="H46" si="24">B46+C46-E46-F46</f>
        <v>184000</v>
      </c>
      <c r="K46" s="131"/>
    </row>
    <row r="47" spans="1:11" ht="21" customHeight="1" thickBot="1">
      <c r="A47" s="14">
        <f>'VENTAS AGOSTO'!A28</f>
        <v>45894</v>
      </c>
      <c r="B47" s="69">
        <f>'VENTAS AGOSTO'!E28</f>
        <v>5400</v>
      </c>
      <c r="C47" s="69">
        <f>'VENTAS AGOSTO'!F28</f>
        <v>13800</v>
      </c>
      <c r="D47" s="69"/>
      <c r="E47" s="127">
        <f>'GASTOS AGOSTO'!G27+'GASTOS AGOSTO'!G28</f>
        <v>8200</v>
      </c>
      <c r="F47" s="73">
        <f>'GASTOS AGOSTO'!L41</f>
        <v>0</v>
      </c>
      <c r="G47" s="73"/>
      <c r="H47" s="72">
        <f t="shared" ref="H47" si="25">B47+C47-E47-F47</f>
        <v>11000</v>
      </c>
      <c r="K47" s="131"/>
    </row>
    <row r="48" spans="1:11" ht="21" customHeight="1" thickBot="1">
      <c r="A48" s="14">
        <f>'VENTAS AGOSTO'!A29</f>
        <v>45895</v>
      </c>
      <c r="B48" s="69">
        <f>'VENTAS AGOSTO'!E29</f>
        <v>44300</v>
      </c>
      <c r="C48" s="69">
        <f>'VENTAS AGOSTO'!F29</f>
        <v>21700</v>
      </c>
      <c r="D48" s="69"/>
      <c r="E48" s="127">
        <v>0</v>
      </c>
      <c r="F48" s="73">
        <f>'GASTOS AGOSTO'!L42</f>
        <v>0</v>
      </c>
      <c r="G48" s="73"/>
      <c r="H48" s="72">
        <f t="shared" ref="H48" si="26">B48+C48-E48-F48</f>
        <v>66000</v>
      </c>
    </row>
    <row r="49" spans="1:11" ht="21" customHeight="1" thickBot="1">
      <c r="A49" s="14">
        <f>'VENTAS AGOSTO'!A30</f>
        <v>45896</v>
      </c>
      <c r="B49" s="69">
        <f>'VENTAS AGOSTO'!E30</f>
        <v>28200</v>
      </c>
      <c r="C49" s="69">
        <f>'VENTAS AGOSTO'!F30</f>
        <v>6900</v>
      </c>
      <c r="D49" s="69"/>
      <c r="E49" s="127">
        <f>'GASTOS AGOSTO'!G29+'GASTOS AGOSTO'!G30+'GASTOS AGOSTO'!G31+'GASTOS AGOSTO'!G32+'GASTOS AGOSTO'!G33-64</f>
        <v>404200</v>
      </c>
      <c r="F49" s="73">
        <f>'GASTOS AGOSTO'!L43</f>
        <v>0</v>
      </c>
      <c r="G49" s="73"/>
      <c r="H49" s="72">
        <f t="shared" ref="H49" si="27">B49+C49-E49-F49</f>
        <v>-369100</v>
      </c>
    </row>
    <row r="50" spans="1:11" ht="21" customHeight="1" thickBot="1">
      <c r="A50" s="14">
        <f>'VENTAS AGOSTO'!A31</f>
        <v>45897</v>
      </c>
      <c r="B50" s="69">
        <f>'VENTAS AGOSTO'!E31</f>
        <v>33800</v>
      </c>
      <c r="C50" s="69">
        <f>'VENTAS AGOSTO'!F31</f>
        <v>21600</v>
      </c>
      <c r="D50" s="69"/>
      <c r="E50" s="127">
        <v>0</v>
      </c>
      <c r="F50" s="73">
        <f>'GASTOS AGOSTO'!L44</f>
        <v>0</v>
      </c>
      <c r="G50" s="73"/>
      <c r="H50" s="72">
        <f t="shared" ref="H50" si="28">B50+C50-E50-F50</f>
        <v>55400</v>
      </c>
    </row>
    <row r="51" spans="1:11" ht="21" customHeight="1" thickBot="1">
      <c r="A51" s="14">
        <f>'VENTAS AGOSTO'!A32</f>
        <v>45898</v>
      </c>
      <c r="B51" s="69">
        <f>'VENTAS AGOSTO'!E32</f>
        <v>33100</v>
      </c>
      <c r="C51" s="69">
        <f>'VENTAS AGOSTO'!F32</f>
        <v>31500</v>
      </c>
      <c r="D51" s="69"/>
      <c r="E51" s="127">
        <f>'GASTOS AGOSTO'!G34</f>
        <v>62400</v>
      </c>
      <c r="F51" s="73">
        <f>'GASTOS AGOSTO'!L35</f>
        <v>12000</v>
      </c>
      <c r="G51" s="73"/>
      <c r="H51" s="72">
        <f t="shared" ref="H51" si="29">B51+C51-E51-F51</f>
        <v>-9800</v>
      </c>
    </row>
    <row r="52" spans="1:11" ht="21" customHeight="1" thickBot="1">
      <c r="A52" s="14">
        <f>'VENTAS AGOSTO'!A33</f>
        <v>45899</v>
      </c>
      <c r="B52" s="69">
        <f>'VENTAS AGOSTO'!E33</f>
        <v>50800</v>
      </c>
      <c r="C52" s="69">
        <f>'VENTAS AGOSTO'!F33</f>
        <v>10800</v>
      </c>
      <c r="D52" s="69"/>
      <c r="E52" s="127">
        <f>'GASTOS AGOSTO'!G36</f>
        <v>0</v>
      </c>
      <c r="F52" s="73">
        <f>'GASTOS AGOSTO'!L46</f>
        <v>0</v>
      </c>
      <c r="G52" s="73"/>
      <c r="H52" s="72">
        <f t="shared" ref="H52" si="30">B52+C52-E52-F52</f>
        <v>61600</v>
      </c>
      <c r="K52" s="131"/>
    </row>
    <row r="53" spans="1:11" s="119" customFormat="1" ht="21" customHeight="1" thickBot="1">
      <c r="A53" s="115">
        <f>'VENTAS AGOSTO'!A34</f>
        <v>45900</v>
      </c>
      <c r="B53" s="116">
        <f>'VENTAS AGOSTO'!E34</f>
        <v>33600</v>
      </c>
      <c r="C53" s="116">
        <f>'VENTAS AGOSTO'!F34</f>
        <v>6000</v>
      </c>
      <c r="D53" s="116"/>
      <c r="E53" s="133">
        <f>'GASTOS AGOSTO'!G37</f>
        <v>0</v>
      </c>
      <c r="F53" s="133">
        <f>'GASTOS AGOSTO'!L47</f>
        <v>0</v>
      </c>
      <c r="G53" s="133"/>
      <c r="H53" s="118">
        <f t="shared" ref="H53" si="31">B53+C53-E53-F53</f>
        <v>39600</v>
      </c>
      <c r="J53" s="120"/>
      <c r="K53" s="120"/>
    </row>
    <row r="54" spans="1:11" ht="21" customHeight="1" thickTop="1" thickBot="1">
      <c r="A54" s="14">
        <f>'VENTAS SEPTIEMBRE'!A4</f>
        <v>45901</v>
      </c>
      <c r="B54" s="69">
        <f>'VENTAS SEPTIEMBRE'!E4</f>
        <v>6000</v>
      </c>
      <c r="C54" s="69">
        <f>'VENTAS SEPTIEMBRE'!F4</f>
        <v>16200</v>
      </c>
      <c r="D54" s="69"/>
      <c r="E54" s="127">
        <v>0</v>
      </c>
      <c r="F54" s="73">
        <f>'GASTOS AGOSTO'!L48</f>
        <v>0</v>
      </c>
      <c r="G54" s="73"/>
      <c r="H54" s="72">
        <f t="shared" ref="H54" si="32">B54+C54-E54-F54</f>
        <v>22200</v>
      </c>
      <c r="K54" s="131"/>
    </row>
    <row r="55" spans="1:11" ht="21" customHeight="1" thickBot="1">
      <c r="A55" s="14">
        <f>'VENTAS SEPTIEMBRE'!A5</f>
        <v>45902</v>
      </c>
      <c r="B55" s="69">
        <f>'VENTAS SEPTIEMBRE'!E5</f>
        <v>20700</v>
      </c>
      <c r="C55" s="69">
        <f>'VENTAS SEPTIEMBRE'!F5</f>
        <v>12600</v>
      </c>
      <c r="D55" s="69"/>
      <c r="E55" s="127">
        <f>'GASTOS SEPTIEMBRE'!K37</f>
        <v>0</v>
      </c>
      <c r="F55" s="73">
        <f>'GASTOS AGOSTO'!L49</f>
        <v>0</v>
      </c>
      <c r="G55" s="73"/>
      <c r="H55" s="72">
        <f t="shared" ref="H55" si="33">B55+C55-E55-F55</f>
        <v>33300</v>
      </c>
      <c r="K55" s="131"/>
    </row>
    <row r="56" spans="1:11" ht="21" customHeight="1" thickBot="1">
      <c r="A56" s="14">
        <f>'VENTAS SEPTIEMBRE'!A6</f>
        <v>45903</v>
      </c>
      <c r="B56" s="69">
        <f>'VENTAS SEPTIEMBRE'!E6</f>
        <v>23200</v>
      </c>
      <c r="C56" s="69">
        <f>'VENTAS SEPTIEMBRE'!F6</f>
        <v>27000</v>
      </c>
      <c r="D56" s="69"/>
      <c r="E56" s="127">
        <f>'GASTOS SEPTIEMBRE'!K38</f>
        <v>0</v>
      </c>
      <c r="F56" s="73">
        <f>'GASTOS AGOSTO'!L50</f>
        <v>0</v>
      </c>
      <c r="G56" s="73"/>
      <c r="H56" s="72">
        <f t="shared" ref="H56" si="34">B56+C56-E56-F56</f>
        <v>50200</v>
      </c>
      <c r="K56" s="131"/>
    </row>
    <row r="57" spans="1:11" ht="21" customHeight="1" thickBot="1">
      <c r="A57" s="14">
        <f>'VENTAS SEPTIEMBRE'!A7</f>
        <v>45904</v>
      </c>
      <c r="B57" s="69">
        <f>'VENTAS SEPTIEMBRE'!E7</f>
        <v>36700</v>
      </c>
      <c r="C57" s="69">
        <f>'VENTAS SEPTIEMBRE'!F7</f>
        <v>0</v>
      </c>
      <c r="D57" s="69"/>
      <c r="E57" s="127">
        <f>'GASTOS SEPTIEMBRE'!K39</f>
        <v>0</v>
      </c>
      <c r="F57" s="73">
        <f>'GASTOS AGOSTO'!L51</f>
        <v>0</v>
      </c>
      <c r="G57" s="73"/>
      <c r="H57" s="72">
        <f t="shared" ref="H57" si="35">B57+C57-E57-F57</f>
        <v>36700</v>
      </c>
      <c r="K57" s="131"/>
    </row>
    <row r="58" spans="1:11" ht="21" customHeight="1" thickBot="1">
      <c r="A58" s="14">
        <f>'VENTAS SEPTIEMBRE'!A8</f>
        <v>45905</v>
      </c>
      <c r="B58" s="69">
        <f>'VENTAS SEPTIEMBRE'!E8</f>
        <v>75000</v>
      </c>
      <c r="C58" s="69">
        <f>'VENTAS SEPTIEMBRE'!F8</f>
        <v>62700</v>
      </c>
      <c r="D58" s="69"/>
      <c r="E58" s="127">
        <f>'GASTOS SEPTIEMBRE'!K40</f>
        <v>0</v>
      </c>
      <c r="F58" s="73">
        <f>'GASTOS AGOSTO'!L52</f>
        <v>0</v>
      </c>
      <c r="G58" s="73"/>
      <c r="H58" s="72">
        <f t="shared" ref="H58" si="36">B58+C58-E58-F58</f>
        <v>137700</v>
      </c>
      <c r="K58" s="131"/>
    </row>
    <row r="59" spans="1:11" ht="21" customHeight="1" thickBot="1">
      <c r="A59" s="14">
        <f>'VENTAS SEPTIEMBRE'!A9</f>
        <v>45906</v>
      </c>
      <c r="B59" s="69">
        <f>'VENTAS SEPTIEMBRE'!E9</f>
        <v>74600</v>
      </c>
      <c r="C59" s="69">
        <f>'VENTAS SEPTIEMBRE'!F9</f>
        <v>49500</v>
      </c>
      <c r="D59" s="69"/>
      <c r="E59" s="127">
        <f>'GASTOS SEPTIEMBRE'!K4</f>
        <v>41000</v>
      </c>
      <c r="F59" s="73">
        <f>'GASTOS AGOSTO'!L53</f>
        <v>0</v>
      </c>
      <c r="G59" s="73"/>
      <c r="H59" s="72">
        <f t="shared" ref="H59" si="37">B59+C59-E59-F59</f>
        <v>83100</v>
      </c>
      <c r="K59" s="131"/>
    </row>
    <row r="60" spans="1:11" ht="21" customHeight="1" thickBot="1">
      <c r="A60" s="14">
        <f>'VENTAS SEPTIEMBRE'!A10</f>
        <v>45907</v>
      </c>
      <c r="B60" s="69">
        <f>'VENTAS SEPTIEMBRE'!E10</f>
        <v>165920</v>
      </c>
      <c r="C60" s="69">
        <f>'VENTAS SEPTIEMBRE'!F10</f>
        <v>107400</v>
      </c>
      <c r="D60" s="69"/>
      <c r="E60" s="127">
        <f>'GASTOS SEPTIEMBRE'!G5+'GASTOS SEPTIEMBRE'!G6+'GASTOS SEPTIEMBRE'!G7</f>
        <v>256600</v>
      </c>
      <c r="F60" s="73">
        <f>'GASTOS AGOSTO'!L54</f>
        <v>0</v>
      </c>
      <c r="G60" s="73"/>
      <c r="H60" s="72">
        <f t="shared" ref="H60" si="38">B60+C60-E60-F60</f>
        <v>16720</v>
      </c>
      <c r="J60" s="131"/>
      <c r="K60" s="131"/>
    </row>
    <row r="61" spans="1:11" ht="21" customHeight="1" thickBot="1">
      <c r="A61" s="14">
        <f>'VENTAS SEPTIEMBRE'!A11</f>
        <v>45908</v>
      </c>
      <c r="B61" s="69">
        <f>'VENTAS SEPTIEMBRE'!E11</f>
        <v>40200</v>
      </c>
      <c r="C61" s="69">
        <f>'VENTAS SEPTIEMBRE'!F11</f>
        <v>22700</v>
      </c>
      <c r="D61" s="69"/>
      <c r="E61" s="127">
        <v>0</v>
      </c>
      <c r="F61" s="73">
        <f>'GASTOS AGOSTO'!L55</f>
        <v>0</v>
      </c>
      <c r="G61" s="73"/>
      <c r="H61" s="72">
        <f t="shared" ref="H61" si="39">B61+C61-E61-F61</f>
        <v>62900</v>
      </c>
      <c r="J61" s="131"/>
      <c r="K61" s="131"/>
    </row>
    <row r="62" spans="1:11" ht="21" customHeight="1" thickBot="1">
      <c r="A62" s="14">
        <f>'VENTAS SEPTIEMBRE'!A12</f>
        <v>45909</v>
      </c>
      <c r="B62" s="69">
        <f>'VENTAS SEPTIEMBRE'!E12</f>
        <v>25000</v>
      </c>
      <c r="C62" s="69">
        <f>'VENTAS SEPTIEMBRE'!F12</f>
        <v>7200</v>
      </c>
      <c r="D62" s="69"/>
      <c r="E62" s="127">
        <v>0</v>
      </c>
      <c r="F62" s="73">
        <f>'GASTOS AGOSTO'!L56</f>
        <v>0</v>
      </c>
      <c r="G62" s="73"/>
      <c r="H62" s="72">
        <f t="shared" ref="H62" si="40">B62+C62-E62-F62</f>
        <v>32200</v>
      </c>
      <c r="J62" s="131"/>
      <c r="K62" s="131"/>
    </row>
    <row r="63" spans="1:11" ht="21" customHeight="1" thickBot="1">
      <c r="A63" s="14">
        <f>'VENTAS SEPTIEMBRE'!A13</f>
        <v>45910</v>
      </c>
      <c r="B63" s="69">
        <f>'VENTAS SEPTIEMBRE'!E13</f>
        <v>26800</v>
      </c>
      <c r="C63" s="69">
        <f>'VENTAS SEPTIEMBRE'!F13</f>
        <v>30600</v>
      </c>
      <c r="D63" s="69"/>
      <c r="E63" s="127">
        <f>'GASTOS SEPTIEMBRE'!K8</f>
        <v>22000</v>
      </c>
      <c r="F63" s="73">
        <f>'GASTOS AGOSTO'!L57</f>
        <v>0</v>
      </c>
      <c r="G63" s="73"/>
      <c r="H63" s="72">
        <f t="shared" ref="H63" si="41">B63+C63-E63-F63</f>
        <v>35400</v>
      </c>
      <c r="J63" s="131"/>
      <c r="K63" s="131"/>
    </row>
    <row r="64" spans="1:11" ht="21" customHeight="1" thickBot="1">
      <c r="A64" s="14">
        <f>'VENTAS SEPTIEMBRE'!A14</f>
        <v>45911</v>
      </c>
      <c r="B64" s="69">
        <f>'VENTAS SEPTIEMBRE'!E14</f>
        <v>39100</v>
      </c>
      <c r="C64" s="69">
        <f>'VENTAS SEPTIEMBRE'!F14</f>
        <v>22200</v>
      </c>
      <c r="D64" s="69"/>
      <c r="E64" s="127"/>
      <c r="F64" s="73">
        <f>'GASTOS SEPTIEMBRE'!L9+'GASTOS SEPTIEMBRE'!L10</f>
        <v>26061.599999999999</v>
      </c>
      <c r="G64" s="73"/>
      <c r="H64" s="72">
        <f t="shared" ref="H64" si="42">B64+C64-E64-F64</f>
        <v>35238.400000000001</v>
      </c>
      <c r="J64" s="131"/>
      <c r="K64" s="131"/>
    </row>
    <row r="65" spans="1:11" ht="21" customHeight="1" thickBot="1">
      <c r="A65" s="14">
        <f>'VENTAS SEPTIEMBRE'!A15</f>
        <v>45912</v>
      </c>
      <c r="B65" s="69">
        <f>'VENTAS SEPTIEMBRE'!E15</f>
        <v>40500</v>
      </c>
      <c r="C65" s="69">
        <f>'VENTAS SEPTIEMBRE'!F15</f>
        <v>26100</v>
      </c>
      <c r="D65" s="69"/>
      <c r="E65" s="127">
        <f>'GASTOS SEPTIEMBRE'!K11</f>
        <v>51000</v>
      </c>
      <c r="F65" s="73">
        <v>0</v>
      </c>
      <c r="G65" s="73"/>
      <c r="H65" s="72">
        <f t="shared" ref="H65" si="43">B65+C65-E65-F65</f>
        <v>15600</v>
      </c>
      <c r="J65" s="131"/>
      <c r="K65" s="131"/>
    </row>
    <row r="66" spans="1:11" ht="21" customHeight="1" thickBot="1">
      <c r="A66" s="14">
        <f>'VENTAS SEPTIEMBRE'!A16</f>
        <v>45913</v>
      </c>
      <c r="B66" s="69">
        <f>'VENTAS SEPTIEMBRE'!E16-10800</f>
        <v>87800</v>
      </c>
      <c r="C66" s="69">
        <f>'VENTAS SEPTIEMBRE'!F16</f>
        <v>57300</v>
      </c>
      <c r="D66" s="69"/>
      <c r="E66" s="127">
        <f>'GASTOS SEPTIEMBRE'!K14</f>
        <v>348800</v>
      </c>
      <c r="F66" s="73">
        <f>'GASTOS SEPTIEMBRE'!L15</f>
        <v>50000</v>
      </c>
      <c r="G66" s="73"/>
      <c r="H66" s="72">
        <f>B66+C66-E66-F66</f>
        <v>-253700</v>
      </c>
      <c r="J66" s="131"/>
      <c r="K66" s="131"/>
    </row>
    <row r="67" spans="1:11" ht="21" customHeight="1" thickBot="1">
      <c r="A67" s="14">
        <f>'VENTAS SEPTIEMBRE'!A17</f>
        <v>45914</v>
      </c>
      <c r="B67" s="69">
        <f>'VENTAS SEPTIEMBRE'!E17</f>
        <v>208880</v>
      </c>
      <c r="C67" s="69">
        <f>'VENTAS SEPTIEMBRE'!F17</f>
        <v>123400</v>
      </c>
      <c r="D67" s="69"/>
      <c r="E67" s="127">
        <f>'GASTOS SEPTIEMBRE'!K15</f>
        <v>0</v>
      </c>
      <c r="F67" s="73">
        <v>0</v>
      </c>
      <c r="G67" s="73"/>
      <c r="H67" s="72">
        <f t="shared" ref="H67" si="44">B67+C67-E67-F67</f>
        <v>332280</v>
      </c>
      <c r="J67" s="131"/>
      <c r="K67" s="131"/>
    </row>
    <row r="68" spans="1:11" ht="21" customHeight="1" thickBot="1">
      <c r="A68" s="14">
        <f>'VENTAS SEPTIEMBRE'!A18</f>
        <v>45915</v>
      </c>
      <c r="B68" s="69">
        <f>'VENTAS SEPTIEMBRE'!E18</f>
        <v>25320</v>
      </c>
      <c r="C68" s="69">
        <f>'VENTAS SEPTIEMBRE'!F18</f>
        <v>2400</v>
      </c>
      <c r="D68" s="69"/>
      <c r="E68" s="127">
        <v>0</v>
      </c>
      <c r="F68" s="73">
        <f>'GASTOS SEPTIEMBRE'!L16</f>
        <v>12750</v>
      </c>
      <c r="G68" s="73"/>
      <c r="H68" s="72">
        <f t="shared" ref="H68" si="45">B68+C68-E68-F68</f>
        <v>14970</v>
      </c>
      <c r="J68" s="131"/>
      <c r="K68" s="131"/>
    </row>
    <row r="69" spans="1:11" ht="21" customHeight="1" thickBot="1">
      <c r="A69" s="14">
        <f>'VENTAS SEPTIEMBRE'!A19</f>
        <v>45916</v>
      </c>
      <c r="B69" s="69">
        <f>'VENTAS SEPTIEMBRE'!E19</f>
        <v>27800</v>
      </c>
      <c r="C69" s="69">
        <f>'VENTAS SEPTIEMBRE'!F19</f>
        <v>21000</v>
      </c>
      <c r="D69" s="69"/>
      <c r="E69" s="127">
        <f>'GASTOS SEPTIEMBRE'!K17+'GASTOS SEPTIEMBRE'!K19+'GASTOS SEPTIEMBRE'!K20</f>
        <v>236023</v>
      </c>
      <c r="F69" s="73">
        <f>'GASTOS SEPTIEMBRE'!L18</f>
        <v>169046</v>
      </c>
      <c r="G69" s="73"/>
      <c r="H69" s="72">
        <f t="shared" ref="H69" si="46">B69+C69-E69-F69</f>
        <v>-356269</v>
      </c>
      <c r="J69" s="131"/>
      <c r="K69" s="131"/>
    </row>
    <row r="70" spans="1:11" ht="21" customHeight="1" thickBot="1">
      <c r="A70" s="14">
        <f>'VENTAS SEPTIEMBRE'!A20</f>
        <v>45917</v>
      </c>
      <c r="B70" s="69">
        <f>'VENTAS SEPTIEMBRE'!E20</f>
        <v>30600</v>
      </c>
      <c r="C70" s="69">
        <f>'VENTAS SEPTIEMBRE'!F20</f>
        <v>10500</v>
      </c>
      <c r="D70" s="69"/>
      <c r="E70" s="127"/>
      <c r="F70" s="73">
        <f>'GASTOS SEPTIEMBRE'!L21</f>
        <v>13800</v>
      </c>
      <c r="G70" s="73"/>
      <c r="H70" s="72">
        <f t="shared" ref="H70" si="47">B70+C70-E70-F70</f>
        <v>27300</v>
      </c>
      <c r="J70" s="131"/>
      <c r="K70" s="131"/>
    </row>
    <row r="71" spans="1:11" ht="21" customHeight="1" thickBot="1">
      <c r="A71" s="14">
        <f>'VENTAS SEPTIEMBRE'!A21</f>
        <v>45918</v>
      </c>
      <c r="B71" s="69">
        <f>'VENTAS SEPTIEMBRE'!E21</f>
        <v>20400</v>
      </c>
      <c r="C71" s="69">
        <f>'VENTAS SEPTIEMBRE'!F21</f>
        <v>5100</v>
      </c>
      <c r="D71" s="69"/>
      <c r="E71" s="127">
        <f>'GASTOS SEPTIEMBRE'!K26+'GASTOS SEPTIEMBRE'!K23</f>
        <v>206784.5</v>
      </c>
      <c r="F71" s="73">
        <f>'GASTOS SEPTIEMBRE'!L22+'GASTOS SEPTIEMBRE'!L25</f>
        <v>246800</v>
      </c>
      <c r="G71" s="73"/>
      <c r="H71" s="72">
        <f t="shared" ref="H71" si="48">B71+C71-E71-F71</f>
        <v>-428084.5</v>
      </c>
      <c r="J71" s="131"/>
      <c r="K71" s="131"/>
    </row>
    <row r="72" spans="1:11" ht="21" customHeight="1" thickBot="1">
      <c r="A72" s="14">
        <f>'VENTAS SEPTIEMBRE'!A22</f>
        <v>45919</v>
      </c>
      <c r="B72" s="69">
        <f>'VENTAS SEPTIEMBRE'!E22</f>
        <v>64400</v>
      </c>
      <c r="C72" s="69">
        <f>'VENTAS SEPTIEMBRE'!F22</f>
        <v>0</v>
      </c>
      <c r="D72" s="69">
        <f>51256.3+1746.86</f>
        <v>53003.16</v>
      </c>
      <c r="E72" s="127"/>
      <c r="F72" s="73">
        <f>'GASTOS SEPTIEMBRE'!L23+'GASTOS SEPTIEMBRE'!L37</f>
        <v>0</v>
      </c>
      <c r="G72" s="73">
        <f>'GASTOS SEPTIEMBRE'!M27</f>
        <v>11421.400000000001</v>
      </c>
      <c r="H72" s="72">
        <f t="shared" ref="H72" si="49">B72+C72-E72-F72</f>
        <v>64400</v>
      </c>
      <c r="I72" s="131"/>
      <c r="J72" s="131"/>
      <c r="K72" s="131"/>
    </row>
    <row r="73" spans="1:11" ht="21" customHeight="1" thickBot="1">
      <c r="A73" s="14">
        <f>'VENTAS SEPTIEMBRE'!A23</f>
        <v>45920</v>
      </c>
      <c r="B73" s="69">
        <f>'VENTAS SEPTIEMBRE'!E23</f>
        <v>38400</v>
      </c>
      <c r="C73" s="69">
        <f>'VENTAS SEPTIEMBRE'!F23</f>
        <v>10800</v>
      </c>
      <c r="D73" s="69"/>
      <c r="E73" s="127"/>
      <c r="F73" s="73">
        <f>'GASTOS SEPTIEMBRE'!L24+'GASTOS SEPTIEMBRE'!L38</f>
        <v>0</v>
      </c>
      <c r="G73" s="73">
        <f>'GASTOS SEPTIEMBRE'!M37</f>
        <v>0</v>
      </c>
      <c r="H73" s="72">
        <f t="shared" ref="H73" si="50">B73+C73-E73-F73</f>
        <v>49200</v>
      </c>
      <c r="J73" s="131"/>
      <c r="K73" s="131"/>
    </row>
    <row r="74" spans="1:11" ht="21" customHeight="1" thickBot="1">
      <c r="A74" s="14">
        <f>'VENTAS SEPTIEMBRE'!A24</f>
        <v>45921</v>
      </c>
      <c r="B74" s="69">
        <f>'VENTAS SEPTIEMBRE'!E24</f>
        <v>83200</v>
      </c>
      <c r="C74" s="69">
        <f>'VENTAS SEPTIEMBRE'!F24</f>
        <v>39900</v>
      </c>
      <c r="D74" s="69"/>
      <c r="E74" s="127"/>
      <c r="F74" s="73">
        <f>'GASTOS SEPTIEMBRE'!L25+'GASTOS SEPTIEMBRE'!L39</f>
        <v>236800</v>
      </c>
      <c r="G74" s="73">
        <f>'GASTOS SEPTIEMBRE'!M38</f>
        <v>0</v>
      </c>
      <c r="H74" s="72">
        <f t="shared" ref="H74" si="51">B74+C74-E74-F74</f>
        <v>-113700</v>
      </c>
      <c r="J74" s="131"/>
      <c r="K74" s="131"/>
    </row>
    <row r="75" spans="1:11" ht="21" customHeight="1" thickBot="1">
      <c r="A75" s="14">
        <f>'VENTAS SEPTIEMBRE'!A25</f>
        <v>45922</v>
      </c>
      <c r="B75" s="69">
        <f>'VENTAS SEPTIEMBRE'!E25</f>
        <v>2700</v>
      </c>
      <c r="C75" s="69">
        <f>'VENTAS SEPTIEMBRE'!F25</f>
        <v>0</v>
      </c>
      <c r="D75" s="69"/>
      <c r="E75" s="127">
        <f>'GASTOS SEPTIEMBRE'!K29</f>
        <v>7000</v>
      </c>
      <c r="F75" s="73">
        <f>'GASTOS SEPTIEMBRE'!L28</f>
        <v>16000</v>
      </c>
      <c r="G75" s="73">
        <f>'GASTOS SEPTIEMBRE'!M39</f>
        <v>0</v>
      </c>
      <c r="H75" s="72">
        <f t="shared" ref="H75" si="52">B75+C75-E75-F75</f>
        <v>-20300</v>
      </c>
      <c r="J75" s="131"/>
      <c r="K75" s="131"/>
    </row>
    <row r="76" spans="1:11" ht="21" customHeight="1" thickBot="1">
      <c r="A76" s="14">
        <f>'VENTAS SEPTIEMBRE'!A26</f>
        <v>45923</v>
      </c>
      <c r="B76" s="69">
        <f>'VENTAS SEPTIEMBRE'!E26</f>
        <v>33300</v>
      </c>
      <c r="C76" s="69">
        <f>'VENTAS SEPTIEMBRE'!F26</f>
        <v>18900</v>
      </c>
      <c r="D76" s="69"/>
      <c r="E76" s="127">
        <f>'GASTOS SEPTIEMBRE'!K37</f>
        <v>0</v>
      </c>
      <c r="F76" s="73">
        <f>'GASTOS SEPTIEMBRE'!L29</f>
        <v>0</v>
      </c>
      <c r="G76" s="73">
        <f>'GASTOS SEPTIEMBRE'!M40</f>
        <v>0</v>
      </c>
      <c r="H76" s="72">
        <f t="shared" ref="H76" si="53">B76+C76-E76-F76</f>
        <v>52200</v>
      </c>
      <c r="J76" s="131"/>
      <c r="K76" s="131"/>
    </row>
    <row r="77" spans="1:11" ht="21" customHeight="1" thickBot="1">
      <c r="A77" s="14">
        <f>'VENTAS SEPTIEMBRE'!A27</f>
        <v>45924</v>
      </c>
      <c r="B77" s="69">
        <f>'VENTAS SEPTIEMBRE'!E27</f>
        <v>37800</v>
      </c>
      <c r="C77" s="69">
        <f>'VENTAS SEPTIEMBRE'!F27</f>
        <v>14700</v>
      </c>
      <c r="D77" s="69"/>
      <c r="E77" s="127">
        <f>'GASTOS SEPTIEMBRE'!K30</f>
        <v>100000</v>
      </c>
      <c r="F77" s="73">
        <f>'GASTOS SEPTIEMBRE'!L37</f>
        <v>0</v>
      </c>
      <c r="G77" s="73">
        <f>'GASTOS SEPTIEMBRE'!M41</f>
        <v>0</v>
      </c>
      <c r="H77" s="72">
        <f t="shared" ref="H77" si="54">B77+C77-E77-F77</f>
        <v>-47500</v>
      </c>
      <c r="J77" s="131"/>
      <c r="K77" s="131"/>
    </row>
    <row r="78" spans="1:11" ht="21" customHeight="1" thickBot="1">
      <c r="A78" s="14">
        <f>'VENTAS SEPTIEMBRE'!A28</f>
        <v>45925</v>
      </c>
      <c r="B78" s="69">
        <f>'VENTAS SEPTIEMBRE'!E28</f>
        <v>88500</v>
      </c>
      <c r="C78" s="69">
        <f>'VENTAS SEPTIEMBRE'!F28</f>
        <v>24600</v>
      </c>
      <c r="D78" s="69"/>
      <c r="E78" s="127">
        <f>'GASTOS SEPTIEMBRE'!K37</f>
        <v>0</v>
      </c>
      <c r="F78" s="73">
        <f>'GASTOS SEPTIEMBRE'!L38</f>
        <v>0</v>
      </c>
      <c r="G78" s="73">
        <f>'GASTOS SEPTIEMBRE'!M42</f>
        <v>0</v>
      </c>
      <c r="H78" s="72">
        <f t="shared" ref="H78" si="55">B78+C78-E78-F78</f>
        <v>113100</v>
      </c>
      <c r="J78" s="131"/>
      <c r="K78" s="131"/>
    </row>
    <row r="79" spans="1:11" ht="21" customHeight="1" thickBot="1">
      <c r="A79" s="14">
        <f>'VENTAS SEPTIEMBRE'!A29</f>
        <v>45926</v>
      </c>
      <c r="B79" s="69"/>
      <c r="C79" s="69"/>
      <c r="D79" s="176">
        <v>157770</v>
      </c>
      <c r="E79" s="127"/>
      <c r="F79" s="73"/>
      <c r="G79" s="73">
        <f>'GASTOS SEPTIEMBRE'!M34</f>
        <v>41063.65</v>
      </c>
      <c r="H79" s="72"/>
      <c r="K79" s="131"/>
    </row>
    <row r="80" spans="1:11" ht="21" customHeight="1" thickBot="1">
      <c r="A80" s="14">
        <f>'VENTAS SEPTIEMBRE'!A30</f>
        <v>45927</v>
      </c>
      <c r="B80" s="69">
        <f>'VENTAS SEPTIEMBRE'!E30</f>
        <v>691200</v>
      </c>
      <c r="C80" s="69">
        <f>'VENTAS SEPTIEMBRE'!F30</f>
        <v>453900</v>
      </c>
      <c r="D80" s="69"/>
      <c r="E80" s="127">
        <f>'GASTOS SEPTIEMBRE'!K39</f>
        <v>0</v>
      </c>
      <c r="F80" s="73">
        <f>'GASTOS SEPTIEMBRE'!L40</f>
        <v>0</v>
      </c>
      <c r="G80" s="73">
        <f>'GASTOS SEPTIEMBRE'!M44</f>
        <v>0</v>
      </c>
      <c r="H80" s="72">
        <f t="shared" ref="H80" si="56">B80+C80-E80-F80</f>
        <v>1145100</v>
      </c>
      <c r="J80" s="131"/>
      <c r="K80" s="131"/>
    </row>
    <row r="81" spans="1:11" ht="21" customHeight="1" thickBot="1">
      <c r="A81" s="14">
        <f>'VENTAS SEPTIEMBRE'!A31</f>
        <v>45928</v>
      </c>
      <c r="B81" s="69">
        <f>'VENTAS SEPTIEMBRE'!E31</f>
        <v>1110010</v>
      </c>
      <c r="C81" s="69">
        <f>'VENTAS SEPTIEMBRE'!F31</f>
        <v>711400</v>
      </c>
      <c r="D81" s="69"/>
      <c r="E81" s="127">
        <f>'GASTOS SEPTIEMBRE'!K40</f>
        <v>0</v>
      </c>
      <c r="F81" s="73">
        <f>'GASTOS SEPTIEMBRE'!L41</f>
        <v>0</v>
      </c>
      <c r="G81" s="73">
        <f>'GASTOS SEPTIEMBRE'!M45</f>
        <v>0</v>
      </c>
      <c r="H81" s="72">
        <f t="shared" ref="H81" si="57">B81+C81-E81-F81</f>
        <v>1821410</v>
      </c>
      <c r="J81" s="131"/>
      <c r="K81" s="131"/>
    </row>
    <row r="82" spans="1:11" ht="21" customHeight="1" thickBot="1">
      <c r="A82" s="14">
        <f>'VENTAS SEPTIEMBRE'!A32</f>
        <v>45929</v>
      </c>
      <c r="B82" s="169">
        <f>'VENTAS SEPTIEMBRE'!E32</f>
        <v>0</v>
      </c>
      <c r="C82" s="169">
        <f>'VENTAS SEPTIEMBRE'!F32</f>
        <v>0</v>
      </c>
      <c r="D82" s="176"/>
      <c r="E82" s="170">
        <f>'GASTOS SEPTIEMBRE'!K32+'GASTOS SEPTIEMBRE'!K33</f>
        <v>875800</v>
      </c>
      <c r="F82" s="171">
        <f>'GASTOS SEPTIEMBRE'!L42</f>
        <v>0</v>
      </c>
      <c r="G82" s="171">
        <v>0</v>
      </c>
      <c r="H82" s="172">
        <f t="shared" ref="H82" si="58">B82+C82-E82-F82</f>
        <v>-875800</v>
      </c>
      <c r="J82" s="131"/>
      <c r="K82" s="131"/>
    </row>
    <row r="83" spans="1:11" ht="21" customHeight="1" thickBot="1">
      <c r="A83" s="175">
        <f>'VENTAS SEPTIEMBRE'!A33</f>
        <v>45930</v>
      </c>
      <c r="B83" s="176">
        <f>'VENTAS SEPTIEMBRE'!E33</f>
        <v>25700</v>
      </c>
      <c r="C83" s="176">
        <f>'VENTAS SEPTIEMBRE'!F33</f>
        <v>11700</v>
      </c>
      <c r="D83" s="176"/>
      <c r="E83" s="177">
        <f>'GASTOS SEPTIEMBRE'!K35+'GASTOS SEPTIEMBRE'!K36</f>
        <v>1200000</v>
      </c>
      <c r="F83" s="178">
        <f>'GASTOS SEPTIEMBRE'!L35+'GASTOS SEPTIEMBRE'!L36</f>
        <v>1400000</v>
      </c>
      <c r="G83" s="178">
        <v>0</v>
      </c>
      <c r="H83" s="71">
        <f t="shared" ref="H83" si="59">B83+C83-E83-F83</f>
        <v>-2562600</v>
      </c>
      <c r="J83" s="131"/>
      <c r="K83" s="131"/>
    </row>
    <row r="84" spans="1:11" ht="21" customHeight="1" thickBot="1">
      <c r="A84" s="182">
        <f>'VENTAS OCTUBRE'!A4</f>
        <v>45931</v>
      </c>
      <c r="B84" s="180">
        <f>'VENTAS OCTUBRE'!E4</f>
        <v>45600</v>
      </c>
      <c r="C84" s="180">
        <f>'VENTAS OCTUBRE'!F4</f>
        <v>19500</v>
      </c>
      <c r="D84" s="181"/>
      <c r="E84" s="173">
        <v>0</v>
      </c>
      <c r="F84" s="173">
        <v>0</v>
      </c>
      <c r="G84" s="173">
        <v>0</v>
      </c>
      <c r="H84" s="174">
        <f t="shared" ref="H84:H255" si="60">B84+C84-E84-F84</f>
        <v>65100</v>
      </c>
      <c r="K84" s="131"/>
    </row>
    <row r="85" spans="1:11" ht="21" customHeight="1" thickBot="1">
      <c r="A85" s="183">
        <f>'VENTAS OCTUBRE'!A5</f>
        <v>45932</v>
      </c>
      <c r="B85" s="69">
        <f>'VENTAS OCTUBRE'!E5</f>
        <v>5400</v>
      </c>
      <c r="C85" s="69">
        <f>'VENTAS OCTUBRE'!F5</f>
        <v>28200</v>
      </c>
      <c r="D85" s="8"/>
      <c r="E85" s="173">
        <v>0</v>
      </c>
      <c r="F85" s="173">
        <v>0</v>
      </c>
      <c r="G85" s="173">
        <v>0</v>
      </c>
      <c r="H85" s="174">
        <f t="shared" ref="H85" si="61">B85+C85-E85-F85</f>
        <v>33600</v>
      </c>
      <c r="K85" s="131"/>
    </row>
    <row r="86" spans="1:11" ht="21" customHeight="1" thickBot="1">
      <c r="A86" s="183">
        <f>'VENTAS OCTUBRE'!A6</f>
        <v>45933</v>
      </c>
      <c r="B86" s="69">
        <f>'VENTAS OCTUBRE'!E6</f>
        <v>12900</v>
      </c>
      <c r="C86" s="69">
        <f>'VENTAS OCTUBRE'!F6</f>
        <v>0</v>
      </c>
      <c r="D86" s="69">
        <v>147870</v>
      </c>
      <c r="E86" s="173">
        <v>0</v>
      </c>
      <c r="F86" s="173">
        <v>0</v>
      </c>
      <c r="G86" s="73">
        <f>'GASTOS OCTUBRE'!M4</f>
        <v>32987.29</v>
      </c>
      <c r="H86" s="174">
        <f t="shared" ref="H86" si="62">B86+C86-E86-F86</f>
        <v>12900</v>
      </c>
      <c r="K86" s="131"/>
    </row>
    <row r="87" spans="1:11" ht="21" customHeight="1" thickBot="1">
      <c r="A87" s="183">
        <f>'VENTAS OCTUBRE'!A7</f>
        <v>45934</v>
      </c>
      <c r="B87" s="69">
        <f>'VENTAS OCTUBRE'!E7</f>
        <v>34800</v>
      </c>
      <c r="C87" s="69">
        <f>'VENTAS OCTUBRE'!F7</f>
        <v>63000</v>
      </c>
      <c r="D87" s="69"/>
      <c r="E87" s="173">
        <v>0</v>
      </c>
      <c r="F87" s="173">
        <v>0</v>
      </c>
      <c r="G87" s="73">
        <v>0</v>
      </c>
      <c r="H87" s="174">
        <f t="shared" ref="H87" si="63">B87+C87-E87-F87</f>
        <v>97800</v>
      </c>
      <c r="K87" s="131"/>
    </row>
    <row r="88" spans="1:11" ht="21" customHeight="1" thickBot="1">
      <c r="A88" s="183">
        <f>'VENTAS OCTUBRE'!A8</f>
        <v>45935</v>
      </c>
      <c r="B88" s="69">
        <f>'VENTAS OCTUBRE'!E8</f>
        <v>148800</v>
      </c>
      <c r="C88" s="69">
        <f>'VENTAS OCTUBRE'!F8</f>
        <v>132300</v>
      </c>
      <c r="D88" s="69"/>
      <c r="E88" s="173">
        <v>0</v>
      </c>
      <c r="F88" s="173">
        <v>0</v>
      </c>
      <c r="G88" s="73">
        <v>0</v>
      </c>
      <c r="H88" s="174">
        <f t="shared" ref="H88" si="64">B88+C88-E88-F88</f>
        <v>281100</v>
      </c>
      <c r="K88" s="131"/>
    </row>
    <row r="89" spans="1:11" ht="21" customHeight="1" thickBot="1">
      <c r="A89" s="183">
        <f>'VENTAS OCTUBRE'!A9</f>
        <v>45936</v>
      </c>
      <c r="B89" s="69">
        <f>'VENTAS OCTUBRE'!E9</f>
        <v>38100</v>
      </c>
      <c r="C89" s="69">
        <f>'VENTAS OCTUBRE'!F9</f>
        <v>7800</v>
      </c>
      <c r="D89" s="69"/>
      <c r="E89" s="173">
        <v>0</v>
      </c>
      <c r="F89" s="173">
        <v>0</v>
      </c>
      <c r="G89" s="73">
        <v>0</v>
      </c>
      <c r="H89" s="174">
        <f t="shared" ref="H89" si="65">B89+C89-E89-F89</f>
        <v>45900</v>
      </c>
      <c r="K89" s="131"/>
    </row>
    <row r="90" spans="1:11" ht="21" customHeight="1" thickBot="1">
      <c r="A90" s="183">
        <f>'VENTAS OCTUBRE'!A10</f>
        <v>45937</v>
      </c>
      <c r="B90" s="69">
        <f>'VENTAS OCTUBRE'!E10</f>
        <v>85600</v>
      </c>
      <c r="C90" s="69">
        <f>'VENTAS OCTUBRE'!F10</f>
        <v>18000</v>
      </c>
      <c r="D90" s="69"/>
      <c r="E90" s="173">
        <v>0</v>
      </c>
      <c r="F90" s="173">
        <v>0</v>
      </c>
      <c r="G90" s="73">
        <v>0</v>
      </c>
      <c r="H90" s="174">
        <f t="shared" ref="H90" si="66">B90+C90-E90-F90</f>
        <v>103600</v>
      </c>
      <c r="K90" s="131"/>
    </row>
    <row r="91" spans="1:11" ht="21" customHeight="1" thickBot="1">
      <c r="A91" s="183">
        <f>'VENTAS OCTUBRE'!A11</f>
        <v>45938</v>
      </c>
      <c r="B91" s="69">
        <f>'VENTAS OCTUBRE'!E11</f>
        <v>18600</v>
      </c>
      <c r="C91" s="69">
        <f>'VENTAS OCTUBRE'!F11</f>
        <v>0</v>
      </c>
      <c r="D91" s="69"/>
      <c r="E91" s="173">
        <v>0</v>
      </c>
      <c r="F91" s="173">
        <v>0</v>
      </c>
      <c r="G91" s="73">
        <v>0</v>
      </c>
      <c r="H91" s="174">
        <f t="shared" ref="H91" si="67">B91+C91-E91-F91</f>
        <v>18600</v>
      </c>
      <c r="K91" s="131"/>
    </row>
    <row r="92" spans="1:11" ht="21" customHeight="1" thickBot="1">
      <c r="A92" s="183">
        <f>'VENTAS OCTUBRE'!A12</f>
        <v>45939</v>
      </c>
      <c r="B92" s="69">
        <f>'VENTAS OCTUBRE'!E12</f>
        <v>55300</v>
      </c>
      <c r="C92" s="69">
        <f>'VENTAS OCTUBRE'!F12</f>
        <v>19200</v>
      </c>
      <c r="D92" s="69"/>
      <c r="E92" s="173">
        <v>0</v>
      </c>
      <c r="F92" s="173">
        <v>0</v>
      </c>
      <c r="G92" s="73">
        <v>0</v>
      </c>
      <c r="H92" s="174">
        <f t="shared" ref="H92" si="68">B92+C92-E92-F92</f>
        <v>74500</v>
      </c>
      <c r="J92" s="131"/>
      <c r="K92" s="131"/>
    </row>
    <row r="93" spans="1:11" ht="21" customHeight="1" thickBot="1">
      <c r="A93" s="183">
        <f>'VENTAS OCTUBRE'!A13</f>
        <v>45940</v>
      </c>
      <c r="B93" s="69">
        <f>'VENTAS OCTUBRE'!E13</f>
        <v>45000</v>
      </c>
      <c r="C93" s="69">
        <f>'VENTAS OCTUBRE'!F13</f>
        <v>21000</v>
      </c>
      <c r="D93" s="69"/>
      <c r="E93" s="173">
        <v>0</v>
      </c>
      <c r="F93" s="173">
        <v>0</v>
      </c>
      <c r="G93" s="73">
        <v>0</v>
      </c>
      <c r="H93" s="174">
        <f t="shared" ref="H93" si="69">B93+C93-E93-F93</f>
        <v>66000</v>
      </c>
      <c r="J93" s="131"/>
      <c r="K93" s="131"/>
    </row>
    <row r="94" spans="1:11" ht="21" customHeight="1" thickBot="1">
      <c r="A94" s="183">
        <f>'VENTAS OCTUBRE'!A14</f>
        <v>45941</v>
      </c>
      <c r="B94" s="69">
        <f>'VENTAS OCTUBRE'!E14</f>
        <v>54700</v>
      </c>
      <c r="C94" s="69">
        <f>'VENTAS OCTUBRE'!F14</f>
        <v>25500</v>
      </c>
      <c r="D94" s="69"/>
      <c r="E94" s="173">
        <v>0</v>
      </c>
      <c r="F94" s="173">
        <v>0</v>
      </c>
      <c r="G94" s="73">
        <v>0</v>
      </c>
      <c r="H94" s="174">
        <f t="shared" ref="H94" si="70">B94+C94-E94-F94</f>
        <v>80200</v>
      </c>
      <c r="J94" s="131"/>
      <c r="K94" s="131"/>
    </row>
    <row r="95" spans="1:11" ht="21" customHeight="1" thickBot="1">
      <c r="A95" s="183">
        <f>'VENTAS OCTUBRE'!A15</f>
        <v>45942</v>
      </c>
      <c r="B95" s="69">
        <f>'VENTAS OCTUBRE'!E15+4377.5</f>
        <v>171077.5</v>
      </c>
      <c r="C95" s="69">
        <f>'VENTAS OCTUBRE'!F15</f>
        <v>88500</v>
      </c>
      <c r="D95" s="69"/>
      <c r="E95" s="173">
        <v>0</v>
      </c>
      <c r="F95" s="173">
        <v>0</v>
      </c>
      <c r="G95" s="73">
        <v>0</v>
      </c>
      <c r="H95" s="174">
        <f t="shared" ref="H95" si="71">B95+C95-E95-F95</f>
        <v>259577.5</v>
      </c>
      <c r="J95" s="131"/>
      <c r="K95" s="131"/>
    </row>
    <row r="96" spans="1:11" ht="21" customHeight="1" thickBot="1">
      <c r="A96" s="183">
        <f>'VENTAS OCTUBRE'!A16</f>
        <v>45943</v>
      </c>
      <c r="B96" s="69">
        <f>'VENTAS OCTUBRE'!E16</f>
        <v>43500</v>
      </c>
      <c r="C96" s="69">
        <f>'VENTAS OCTUBRE'!F16</f>
        <v>33300</v>
      </c>
      <c r="D96" s="69"/>
      <c r="E96" s="173">
        <f>'GASTOS OCTUBRE'!K6</f>
        <v>100000</v>
      </c>
      <c r="F96" s="173">
        <f>'GASTOS OCTUBRE'!L7+'GASTOS OCTUBRE'!L8</f>
        <v>21677.599999999999</v>
      </c>
      <c r="G96" s="73">
        <v>0</v>
      </c>
      <c r="H96" s="174">
        <f t="shared" ref="H96" si="72">B96+C96-E96-F96</f>
        <v>-44877.599999999999</v>
      </c>
      <c r="J96" s="131"/>
      <c r="K96" s="131"/>
    </row>
    <row r="97" spans="1:11" ht="21" customHeight="1" thickBot="1">
      <c r="A97" s="183">
        <f>'VENTAS OCTUBRE'!A17</f>
        <v>45944</v>
      </c>
      <c r="B97" s="69">
        <f>'VENTAS OCTUBRE'!E17</f>
        <v>32800</v>
      </c>
      <c r="C97" s="69">
        <f>'VENTAS OCTUBRE'!F17</f>
        <v>5400</v>
      </c>
      <c r="D97" s="69">
        <v>8640</v>
      </c>
      <c r="E97" s="173">
        <f>'GASTOS OCTUBRE'!K7</f>
        <v>0</v>
      </c>
      <c r="F97" s="173">
        <f>0</f>
        <v>0</v>
      </c>
      <c r="G97" s="73">
        <f>'GASTOS OCTUBRE'!G9</f>
        <v>1354.27</v>
      </c>
      <c r="H97" s="174">
        <f t="shared" ref="H97" si="73">B97+C97-E97-F97</f>
        <v>38200</v>
      </c>
      <c r="J97" s="131"/>
      <c r="K97" s="131"/>
    </row>
    <row r="98" spans="1:11" ht="21" customHeight="1" thickBot="1">
      <c r="A98" s="183">
        <f>'VENTAS OCTUBRE'!A18</f>
        <v>45945</v>
      </c>
      <c r="B98" s="69">
        <f>'VENTAS OCTUBRE'!E18+200</f>
        <v>12200</v>
      </c>
      <c r="C98" s="69">
        <f>'VENTAS OCTUBRE'!F18</f>
        <v>18000</v>
      </c>
      <c r="D98" s="69">
        <f>0</f>
        <v>0</v>
      </c>
      <c r="E98" s="173">
        <f>'GASTOS OCTUBRE'!K10+'GASTOS OCTUBRE'!K11</f>
        <v>750000</v>
      </c>
      <c r="F98" s="173">
        <f>'GASTOS OCTUBRE'!L10+'GASTOS OCTUBRE'!L11</f>
        <v>550000</v>
      </c>
      <c r="G98" s="73">
        <f>'GASTOS OCTUBRE'!G18</f>
        <v>0</v>
      </c>
      <c r="H98" s="174">
        <f t="shared" ref="H98" si="74">B98+C98-E98-F98</f>
        <v>-1269800</v>
      </c>
      <c r="J98" s="131"/>
      <c r="K98" s="131"/>
    </row>
    <row r="99" spans="1:11" ht="21" customHeight="1" thickBot="1">
      <c r="A99" s="183">
        <f>'VENTAS OCTUBRE'!A19</f>
        <v>45946</v>
      </c>
      <c r="B99" s="69">
        <f>'VENTAS OCTUBRE'!E19</f>
        <v>48500</v>
      </c>
      <c r="C99" s="69">
        <f>'VENTAS OCTUBRE'!F19</f>
        <v>18600</v>
      </c>
      <c r="D99" s="69">
        <f>0</f>
        <v>0</v>
      </c>
      <c r="E99" s="173">
        <v>0</v>
      </c>
      <c r="F99" s="173">
        <v>0</v>
      </c>
      <c r="G99" s="73">
        <f>'GASTOS OCTUBRE'!G19</f>
        <v>0</v>
      </c>
      <c r="H99" s="174">
        <f t="shared" ref="H99" si="75">B99+C99-E99-F99</f>
        <v>67100</v>
      </c>
      <c r="J99" s="131"/>
      <c r="K99" s="131"/>
    </row>
    <row r="100" spans="1:11" ht="21" customHeight="1" thickBot="1">
      <c r="A100" s="183">
        <f>'VENTAS OCTUBRE'!A20</f>
        <v>45947</v>
      </c>
      <c r="B100" s="69">
        <f>'VENTAS OCTUBRE'!E20</f>
        <v>40200</v>
      </c>
      <c r="C100" s="69">
        <f>'VENTAS OCTUBRE'!F20</f>
        <v>7200</v>
      </c>
      <c r="D100" s="69">
        <v>128280</v>
      </c>
      <c r="E100" s="173">
        <v>0</v>
      </c>
      <c r="F100" s="173">
        <v>0</v>
      </c>
      <c r="G100" s="73">
        <f>'GASTOS OCTUBRE'!G12</f>
        <v>50305.340000000004</v>
      </c>
      <c r="H100" s="174">
        <f t="shared" ref="H100" si="76">B100+C100-E100-F100</f>
        <v>47400</v>
      </c>
      <c r="J100" s="131"/>
      <c r="K100" s="131" t="s">
        <v>179</v>
      </c>
    </row>
    <row r="101" spans="1:11" ht="21" customHeight="1" thickBot="1">
      <c r="A101" s="183">
        <f>'VENTAS OCTUBRE'!A21</f>
        <v>45948</v>
      </c>
      <c r="B101" s="69">
        <f>'VENTAS OCTUBRE'!E21</f>
        <v>74400</v>
      </c>
      <c r="C101" s="69">
        <f>'VENTAS OCTUBRE'!F21</f>
        <v>15600</v>
      </c>
      <c r="D101" s="69">
        <f>0</f>
        <v>0</v>
      </c>
      <c r="E101" s="173">
        <v>0</v>
      </c>
      <c r="F101" s="173">
        <v>0</v>
      </c>
      <c r="G101" s="73">
        <f>'GASTOS OCTUBRE'!G21</f>
        <v>0</v>
      </c>
      <c r="H101" s="174">
        <f t="shared" ref="H101" si="77">B101+C101-E101-F101</f>
        <v>90000</v>
      </c>
      <c r="J101" s="131"/>
      <c r="K101" s="131"/>
    </row>
    <row r="102" spans="1:11" ht="21" customHeight="1" thickBot="1">
      <c r="A102" s="183">
        <f>'VENTAS OCTUBRE'!A22</f>
        <v>45949</v>
      </c>
      <c r="B102" s="69">
        <f>'VENTAS OCTUBRE'!E22</f>
        <v>46000</v>
      </c>
      <c r="C102" s="69">
        <f>'VENTAS OCTUBRE'!F22</f>
        <v>0</v>
      </c>
      <c r="D102" s="69">
        <f>0</f>
        <v>0</v>
      </c>
      <c r="E102" s="173">
        <v>0</v>
      </c>
      <c r="F102" s="173">
        <v>0</v>
      </c>
      <c r="G102" s="73">
        <f>'GASTOS OCTUBRE'!G22</f>
        <v>0</v>
      </c>
      <c r="H102" s="174">
        <f t="shared" ref="H102" si="78">B102+C102-E102-F102</f>
        <v>46000</v>
      </c>
      <c r="J102" s="131"/>
      <c r="K102" s="131"/>
    </row>
    <row r="103" spans="1:11" ht="21" customHeight="1" thickBot="1">
      <c r="A103" s="183">
        <f>'VENTAS OCTUBRE'!A23</f>
        <v>45950</v>
      </c>
      <c r="B103" s="69">
        <f>'VENTAS OCTUBRE'!E23</f>
        <v>13800</v>
      </c>
      <c r="C103" s="69">
        <f>'VENTAS OCTUBRE'!F23</f>
        <v>10200</v>
      </c>
      <c r="D103" s="69">
        <f>0</f>
        <v>0</v>
      </c>
      <c r="E103" s="173">
        <v>0</v>
      </c>
      <c r="F103" s="173">
        <v>0</v>
      </c>
      <c r="G103" s="73">
        <f>'GASTOS OCTUBRE'!G23</f>
        <v>0</v>
      </c>
      <c r="H103" s="174">
        <f t="shared" ref="H103" si="79">B103+C103-E103-F103</f>
        <v>24000</v>
      </c>
      <c r="J103" s="131"/>
      <c r="K103" s="131"/>
    </row>
    <row r="104" spans="1:11" ht="21" customHeight="1" thickBot="1">
      <c r="A104" s="183">
        <f>'VENTAS OCTUBRE'!A24</f>
        <v>45951</v>
      </c>
      <c r="B104" s="69">
        <f>'VENTAS OCTUBRE'!E24</f>
        <v>12000</v>
      </c>
      <c r="C104" s="69">
        <f>'VENTAS OCTUBRE'!F24</f>
        <v>11400</v>
      </c>
      <c r="D104" s="69">
        <f>0</f>
        <v>0</v>
      </c>
      <c r="E104" s="173">
        <v>0</v>
      </c>
      <c r="F104" s="173">
        <v>0</v>
      </c>
      <c r="G104" s="73">
        <f>'GASTOS OCTUBRE'!G24</f>
        <v>0</v>
      </c>
      <c r="H104" s="174">
        <f t="shared" ref="H104" si="80">B104+C104-E104-F104</f>
        <v>23400</v>
      </c>
      <c r="J104" s="131"/>
      <c r="K104" s="131"/>
    </row>
    <row r="105" spans="1:11" ht="21" customHeight="1" thickBot="1">
      <c r="A105" s="183">
        <f>'VENTAS OCTUBRE'!A25</f>
        <v>45952</v>
      </c>
      <c r="B105" s="69">
        <f>'VENTAS OCTUBRE'!E25</f>
        <v>24000</v>
      </c>
      <c r="C105" s="69">
        <f>'VENTAS OCTUBRE'!F25</f>
        <v>22500</v>
      </c>
      <c r="D105" s="69">
        <f>0</f>
        <v>0</v>
      </c>
      <c r="E105" s="173">
        <v>0</v>
      </c>
      <c r="F105" s="173">
        <v>0</v>
      </c>
      <c r="G105" s="73">
        <f>'GASTOS OCTUBRE'!G25</f>
        <v>0</v>
      </c>
      <c r="H105" s="174">
        <f t="shared" ref="H105" si="81">B105+C105-E105-F105</f>
        <v>46500</v>
      </c>
      <c r="J105" s="131"/>
      <c r="K105" s="131"/>
    </row>
    <row r="106" spans="1:11" ht="21" customHeight="1" thickBot="1">
      <c r="A106" s="183">
        <f>'VENTAS OCTUBRE'!A26</f>
        <v>45953</v>
      </c>
      <c r="B106" s="69">
        <f>'VENTAS OCTUBRE'!E26</f>
        <v>30000</v>
      </c>
      <c r="C106" s="69">
        <f>'VENTAS OCTUBRE'!F26</f>
        <v>0</v>
      </c>
      <c r="D106" s="69">
        <f>0</f>
        <v>0</v>
      </c>
      <c r="E106" s="173">
        <v>0</v>
      </c>
      <c r="F106" s="173">
        <f>'GASTOS OCTUBRE'!L13</f>
        <v>16000</v>
      </c>
      <c r="G106" s="73">
        <f>'GASTOS OCTUBRE'!G26</f>
        <v>0</v>
      </c>
      <c r="H106" s="174">
        <f t="shared" ref="H106" si="82">B106+C106-E106-F106</f>
        <v>14000</v>
      </c>
      <c r="J106" s="131"/>
      <c r="K106" s="131"/>
    </row>
    <row r="107" spans="1:11" ht="21" customHeight="1" thickBot="1">
      <c r="A107" s="183">
        <f>'VENTAS OCTUBRE'!A27</f>
        <v>45954</v>
      </c>
      <c r="B107" s="69">
        <f>'VENTAS OCTUBRE'!E27</f>
        <v>20300</v>
      </c>
      <c r="C107" s="69">
        <f>'VENTAS OCTUBRE'!F27</f>
        <v>7200</v>
      </c>
      <c r="D107" s="69">
        <f>203823</f>
        <v>203823</v>
      </c>
      <c r="E107" s="173">
        <v>0</v>
      </c>
      <c r="F107" s="173">
        <f>'GASTOS OCTUBRE'!L18</f>
        <v>0</v>
      </c>
      <c r="G107" s="73">
        <f>'GASTOS OCTUBRE'!M14</f>
        <v>125765.42</v>
      </c>
      <c r="H107" s="174">
        <f t="shared" ref="H107" si="83">B107+C107-E107-F107</f>
        <v>27500</v>
      </c>
      <c r="J107" s="131"/>
      <c r="K107" s="131"/>
    </row>
    <row r="108" spans="1:11" ht="21" customHeight="1" thickBot="1">
      <c r="A108" s="183">
        <f>'VENTAS OCTUBRE'!A28</f>
        <v>45955</v>
      </c>
      <c r="B108" s="69">
        <f>'VENTAS OCTUBRE'!E28</f>
        <v>60900</v>
      </c>
      <c r="C108" s="69">
        <f>'VENTAS OCTUBRE'!F28</f>
        <v>55200</v>
      </c>
      <c r="D108" s="69">
        <f>0</f>
        <v>0</v>
      </c>
      <c r="E108" s="173">
        <v>0</v>
      </c>
      <c r="F108" s="173">
        <f>'GASTOS OCTUBRE'!L19</f>
        <v>0</v>
      </c>
      <c r="G108" s="73">
        <f>'GASTOS OCTUBRE'!G28</f>
        <v>0</v>
      </c>
      <c r="H108" s="174">
        <f t="shared" ref="H108" si="84">B108+C108-E108-F108</f>
        <v>116100</v>
      </c>
      <c r="J108" s="131"/>
      <c r="K108" s="131"/>
    </row>
    <row r="109" spans="1:11" ht="21" customHeight="1" thickBot="1">
      <c r="A109" s="183">
        <f>'VENTAS OCTUBRE'!A29</f>
        <v>45956</v>
      </c>
      <c r="B109" s="69">
        <f>'VENTAS OCTUBRE'!E29</f>
        <v>183100</v>
      </c>
      <c r="C109" s="69">
        <f>'VENTAS OCTUBRE'!F29</f>
        <v>50400</v>
      </c>
      <c r="D109" s="69">
        <f>0</f>
        <v>0</v>
      </c>
      <c r="E109" s="173">
        <v>0</v>
      </c>
      <c r="F109" s="173">
        <f>'GASTOS OCTUBRE'!L20</f>
        <v>0</v>
      </c>
      <c r="G109" s="73">
        <f>'GASTOS OCTUBRE'!G29</f>
        <v>0</v>
      </c>
      <c r="H109" s="174">
        <f t="shared" ref="H109" si="85">B109+C109-E109-F109</f>
        <v>233500</v>
      </c>
      <c r="J109" s="131"/>
      <c r="K109" s="131"/>
    </row>
    <row r="110" spans="1:11" ht="21" customHeight="1" thickBot="1">
      <c r="A110" s="183">
        <f>'VENTAS OCTUBRE'!A30</f>
        <v>45957</v>
      </c>
      <c r="B110" s="69">
        <f>'VENTAS OCTUBRE'!E30</f>
        <v>14000</v>
      </c>
      <c r="C110" s="69">
        <f>'VENTAS OCTUBRE'!F30</f>
        <v>20400</v>
      </c>
      <c r="D110" s="69">
        <f>0</f>
        <v>0</v>
      </c>
      <c r="E110" s="173">
        <v>0</v>
      </c>
      <c r="F110" s="173">
        <f>'GASTOS OCTUBRE'!L21</f>
        <v>0</v>
      </c>
      <c r="G110" s="73">
        <f>'GASTOS OCTUBRE'!G30</f>
        <v>0</v>
      </c>
      <c r="H110" s="174">
        <f t="shared" ref="H110" si="86">B110+C110-E110-F110</f>
        <v>34400</v>
      </c>
      <c r="J110" s="131"/>
      <c r="K110" s="131"/>
    </row>
    <row r="111" spans="1:11" ht="21" customHeight="1" thickBot="1">
      <c r="A111" s="183">
        <f>'VENTAS OCTUBRE'!A31</f>
        <v>45958</v>
      </c>
      <c r="B111" s="69">
        <f>'VENTAS OCTUBRE'!E31</f>
        <v>21600</v>
      </c>
      <c r="C111" s="69">
        <f>'VENTAS OCTUBRE'!F31</f>
        <v>39600</v>
      </c>
      <c r="D111" s="69">
        <f>0</f>
        <v>0</v>
      </c>
      <c r="E111" s="173">
        <f>'GASTOS OCTUBRE'!K5+'GASTOS OCTUBRE'!K17</f>
        <v>370300</v>
      </c>
      <c r="F111" s="173">
        <f>'GASTOS OCTUBRE'!L22</f>
        <v>0</v>
      </c>
      <c r="G111" s="73">
        <f>'GASTOS OCTUBRE'!G31</f>
        <v>0</v>
      </c>
      <c r="H111" s="174">
        <f t="shared" ref="H111" si="87">B111+C111-E111-F111</f>
        <v>-309100</v>
      </c>
      <c r="J111" s="131"/>
      <c r="K111" s="131"/>
    </row>
    <row r="112" spans="1:11" ht="21" customHeight="1" thickBot="1">
      <c r="A112" s="183">
        <f>'VENTAS OCTUBRE'!A32</f>
        <v>45959</v>
      </c>
      <c r="B112" s="69">
        <f>'VENTAS OCTUBRE'!E32</f>
        <v>7200</v>
      </c>
      <c r="C112" s="69">
        <f>'VENTAS OCTUBRE'!F32</f>
        <v>8400</v>
      </c>
      <c r="D112" s="69">
        <f>0</f>
        <v>0</v>
      </c>
      <c r="E112" s="173">
        <v>0</v>
      </c>
      <c r="F112" s="173">
        <f>'GASTOS OCTUBRE'!L23</f>
        <v>0</v>
      </c>
      <c r="G112" s="73">
        <f>'GASTOS OCTUBRE'!G32</f>
        <v>0</v>
      </c>
      <c r="H112" s="174">
        <f t="shared" ref="H112" si="88">B112+C112-E112-F112</f>
        <v>15600</v>
      </c>
      <c r="J112" s="131"/>
      <c r="K112" s="131"/>
    </row>
    <row r="113" spans="1:11" ht="21" customHeight="1" thickBot="1">
      <c r="A113" s="183">
        <f>'VENTAS OCTUBRE'!A33</f>
        <v>45960</v>
      </c>
      <c r="B113" s="69">
        <f>'VENTAS OCTUBRE'!E33</f>
        <v>16200</v>
      </c>
      <c r="C113" s="69">
        <f>'VENTAS OCTUBRE'!F33</f>
        <v>27300</v>
      </c>
      <c r="D113" s="69">
        <f>0</f>
        <v>0</v>
      </c>
      <c r="E113" s="173">
        <v>0</v>
      </c>
      <c r="F113" s="173">
        <f>'GASTOS OCTUBRE'!L24</f>
        <v>0</v>
      </c>
      <c r="G113" s="73">
        <f>'GASTOS OCTUBRE'!G33</f>
        <v>0</v>
      </c>
      <c r="H113" s="174">
        <f t="shared" ref="H113" si="89">B113+C113-E113-F113</f>
        <v>43500</v>
      </c>
      <c r="J113" s="131"/>
      <c r="K113" s="131"/>
    </row>
    <row r="114" spans="1:11" s="198" customFormat="1" ht="21" customHeight="1" thickBot="1">
      <c r="A114" s="193">
        <f>'VENTAS OCTUBRE'!A34</f>
        <v>45961</v>
      </c>
      <c r="B114" s="194">
        <f>'VENTAS OCTUBRE'!E34</f>
        <v>16400</v>
      </c>
      <c r="C114" s="194">
        <f>'VENTAS OCTUBRE'!F34</f>
        <v>0</v>
      </c>
      <c r="D114" s="194">
        <f>0</f>
        <v>0</v>
      </c>
      <c r="E114" s="195">
        <v>0</v>
      </c>
      <c r="F114" s="195">
        <f>'GASTOS OCTUBRE'!L25</f>
        <v>0</v>
      </c>
      <c r="G114" s="196">
        <f>'GASTOS OCTUBRE'!G34</f>
        <v>0</v>
      </c>
      <c r="H114" s="197">
        <f t="shared" ref="H114" si="90">B114+C114-E114-F114</f>
        <v>16400</v>
      </c>
      <c r="J114" s="199"/>
      <c r="K114" s="199"/>
    </row>
    <row r="115" spans="1:11" ht="21" customHeight="1" thickTop="1" thickBot="1">
      <c r="A115" s="192">
        <f>'VENTAS NOVIEMBRE'!A4</f>
        <v>45962</v>
      </c>
      <c r="B115" s="69">
        <f>'VENTAS NOVIEMBRE'!E4</f>
        <v>27200</v>
      </c>
      <c r="C115" s="69">
        <f>'VENTAS NOVIEMBRE'!F4</f>
        <v>61500</v>
      </c>
      <c r="D115" s="69">
        <v>0</v>
      </c>
      <c r="E115" s="173">
        <v>0</v>
      </c>
      <c r="F115" s="173">
        <v>0</v>
      </c>
      <c r="G115" s="73">
        <v>0</v>
      </c>
      <c r="H115" s="174">
        <f t="shared" si="60"/>
        <v>88700</v>
      </c>
      <c r="J115" s="131"/>
      <c r="K115" s="131"/>
    </row>
    <row r="116" spans="1:11" ht="21" customHeight="1" thickBot="1">
      <c r="A116" s="192">
        <f>'VENTAS NOVIEMBRE'!A5</f>
        <v>45963</v>
      </c>
      <c r="B116" s="69">
        <f>'VENTAS NOVIEMBRE'!E5</f>
        <v>78500</v>
      </c>
      <c r="C116" s="69">
        <f>'VENTAS NOVIEMBRE'!F5</f>
        <v>118800</v>
      </c>
      <c r="D116" s="69">
        <v>0</v>
      </c>
      <c r="E116" s="173">
        <v>0</v>
      </c>
      <c r="F116" s="173">
        <v>0</v>
      </c>
      <c r="G116" s="73">
        <v>0</v>
      </c>
      <c r="H116" s="174">
        <f t="shared" ref="H116" si="91">B116+C116-E116-F116</f>
        <v>197300</v>
      </c>
      <c r="J116" s="131"/>
      <c r="K116" s="131"/>
    </row>
    <row r="117" spans="1:11" ht="21" customHeight="1" thickBot="1">
      <c r="A117" s="192">
        <f>'VENTAS NOVIEMBRE'!A6</f>
        <v>45964</v>
      </c>
      <c r="B117" s="69">
        <f>'VENTAS NOVIEMBRE'!E6</f>
        <v>30900</v>
      </c>
      <c r="C117" s="69">
        <f>'VENTAS NOVIEMBRE'!F6</f>
        <v>13500</v>
      </c>
      <c r="D117" s="69">
        <v>0</v>
      </c>
      <c r="E117" s="173">
        <v>0</v>
      </c>
      <c r="F117" s="173">
        <v>0</v>
      </c>
      <c r="G117" s="73">
        <v>0</v>
      </c>
      <c r="H117" s="174">
        <f t="shared" ref="H117" si="92">B117+C117-E117-F117</f>
        <v>44400</v>
      </c>
      <c r="J117" s="131"/>
      <c r="K117" s="131"/>
    </row>
    <row r="118" spans="1:11" ht="21" customHeight="1" thickBot="1">
      <c r="A118" s="192">
        <f>'VENTAS NOVIEMBRE'!A7</f>
        <v>45965</v>
      </c>
      <c r="B118" s="69">
        <f>'VENTAS NOVIEMBRE'!E7</f>
        <v>15300</v>
      </c>
      <c r="C118" s="69">
        <f>'VENTAS NOVIEMBRE'!F7</f>
        <v>7200</v>
      </c>
      <c r="D118" s="69">
        <f>89500</f>
        <v>89500</v>
      </c>
      <c r="E118" s="173">
        <f>'GASTOS NOVIEMBRE'!K4</f>
        <v>84500</v>
      </c>
      <c r="F118" s="173">
        <v>0</v>
      </c>
      <c r="G118" s="73">
        <f>'GASTOS NOVIEMBRE'!M5</f>
        <v>51422.17</v>
      </c>
      <c r="H118" s="174">
        <f t="shared" ref="H118" si="93">B118+C118-E118-F118</f>
        <v>-62000</v>
      </c>
      <c r="J118" s="131"/>
      <c r="K118" s="131"/>
    </row>
    <row r="119" spans="1:11" ht="21" customHeight="1" thickBot="1">
      <c r="A119" s="192">
        <f>'VENTAS NOVIEMBRE'!A8</f>
        <v>45966</v>
      </c>
      <c r="B119" s="69">
        <f>'VENTAS NOVIEMBRE'!E8</f>
        <v>0</v>
      </c>
      <c r="C119" s="69">
        <f>'VENTAS NOVIEMBRE'!F8</f>
        <v>24900</v>
      </c>
      <c r="D119" s="69"/>
      <c r="E119" s="173">
        <f>'GASTOS NOVIEMBRE'!K5</f>
        <v>0</v>
      </c>
      <c r="F119" s="173">
        <v>0</v>
      </c>
      <c r="G119" s="73">
        <f>'GASTOS NOVIEMBRE'!M30</f>
        <v>0</v>
      </c>
      <c r="H119" s="174">
        <f t="shared" ref="H119" si="94">B119+C119-E119-F119</f>
        <v>24900</v>
      </c>
      <c r="J119" s="131"/>
      <c r="K119" s="131"/>
    </row>
    <row r="120" spans="1:11" ht="21" customHeight="1" thickBot="1">
      <c r="A120" s="192">
        <f>'VENTAS NOVIEMBRE'!A9</f>
        <v>45967</v>
      </c>
      <c r="B120" s="69">
        <f>'VENTAS NOVIEMBRE'!E9</f>
        <v>27900</v>
      </c>
      <c r="C120" s="69">
        <f>'VENTAS NOVIEMBRE'!F9</f>
        <v>37200</v>
      </c>
      <c r="D120" s="69"/>
      <c r="E120" s="173">
        <f>'GASTOS NOVIEMBRE'!K30</f>
        <v>0</v>
      </c>
      <c r="F120" s="173">
        <v>0</v>
      </c>
      <c r="G120" s="73">
        <f>'GASTOS NOVIEMBRE'!M31</f>
        <v>0</v>
      </c>
      <c r="H120" s="174">
        <f t="shared" ref="H120" si="95">B120+C120-E120-F120</f>
        <v>65100</v>
      </c>
      <c r="J120" s="131"/>
      <c r="K120" s="131"/>
    </row>
    <row r="121" spans="1:11" ht="21" customHeight="1" thickBot="1">
      <c r="A121" s="192">
        <f>'VENTAS NOVIEMBRE'!A10</f>
        <v>45968</v>
      </c>
      <c r="B121" s="69">
        <f>'VENTAS NOVIEMBRE'!E10</f>
        <v>69900</v>
      </c>
      <c r="C121" s="69">
        <f>'VENTAS NOVIEMBRE'!F10</f>
        <v>16800</v>
      </c>
      <c r="D121" s="69"/>
      <c r="E121" s="173">
        <f>'GASTOS NOVIEMBRE'!K31</f>
        <v>0</v>
      </c>
      <c r="F121" s="173">
        <v>0</v>
      </c>
      <c r="G121" s="73">
        <f>'GASTOS NOVIEMBRE'!M32</f>
        <v>0</v>
      </c>
      <c r="H121" s="174">
        <f t="shared" ref="H121" si="96">B121+C121-E121-F121</f>
        <v>86700</v>
      </c>
      <c r="I121" s="97"/>
      <c r="J121" s="131"/>
      <c r="K121" s="131"/>
    </row>
    <row r="122" spans="1:11" ht="21" customHeight="1" thickBot="1">
      <c r="A122" s="192">
        <f>'VENTAS NOVIEMBRE'!A11</f>
        <v>45969</v>
      </c>
      <c r="B122" s="69">
        <f>'VENTAS NOVIEMBRE'!E11</f>
        <v>62100</v>
      </c>
      <c r="C122" s="69">
        <f>'VENTAS NOVIEMBRE'!F11</f>
        <v>69300</v>
      </c>
      <c r="D122" s="69">
        <v>221200</v>
      </c>
      <c r="E122" s="173">
        <f>'GASTOS NOVIEMBRE'!K6</f>
        <v>51000</v>
      </c>
      <c r="F122" s="173">
        <f>'GASTOS NOVIEMBRE'!L8</f>
        <v>62400</v>
      </c>
      <c r="G122" s="73">
        <f>'GASTOS NOVIEMBRE'!M7</f>
        <v>142165.41</v>
      </c>
      <c r="H122" s="174">
        <f>B122+C122-E122-F122</f>
        <v>18000</v>
      </c>
      <c r="I122" s="131"/>
      <c r="J122" s="131"/>
      <c r="K122" s="131"/>
    </row>
    <row r="123" spans="1:11" ht="21" customHeight="1" thickBot="1">
      <c r="A123" s="192">
        <f>'VENTAS NOVIEMBRE'!A12</f>
        <v>45970</v>
      </c>
      <c r="B123" s="69">
        <f>'VENTAS NOVIEMBRE'!E12-9960</f>
        <v>85740</v>
      </c>
      <c r="C123" s="69">
        <f>'VENTAS NOVIEMBRE'!F12</f>
        <v>51300</v>
      </c>
      <c r="D123" s="69"/>
      <c r="E123" s="117">
        <f>'GASTOS NOVIEMBRE'!K9+'GASTOS NOVIEMBRE'!K10</f>
        <v>469500</v>
      </c>
      <c r="F123" s="117">
        <f>'GASTOS NOVIEMBRE'!L10</f>
        <v>566938.74</v>
      </c>
      <c r="G123" s="117">
        <f>'GASTOS NOVIEMBRE'!M9+'GASTOS NOVIEMBRE'!M10</f>
        <v>563561.26</v>
      </c>
      <c r="H123" s="174">
        <f>B123+C123-E123-F123</f>
        <v>-899398.74</v>
      </c>
      <c r="I123" s="131"/>
      <c r="J123" s="131"/>
      <c r="K123" s="131"/>
    </row>
    <row r="124" spans="1:11" ht="21" customHeight="1" thickTop="1" thickBot="1">
      <c r="A124" s="192">
        <f>'VENTAS NOVIEMBRE'!A13</f>
        <v>45971</v>
      </c>
      <c r="B124" s="69">
        <f>'VENTAS NOVIEMBRE'!E13</f>
        <v>25200</v>
      </c>
      <c r="C124" s="69">
        <f>'VENTAS NOVIEMBRE'!F13</f>
        <v>14700</v>
      </c>
      <c r="D124" s="69"/>
      <c r="E124" s="173">
        <f>'GASTOS NOVIEMBRE'!K34</f>
        <v>0</v>
      </c>
      <c r="F124" s="173">
        <v>0</v>
      </c>
      <c r="G124" s="73">
        <f>'GASTOS NOVIEMBRE'!M35</f>
        <v>0</v>
      </c>
      <c r="H124" s="174">
        <f t="shared" ref="H124" si="97">B124+C124-E124-F124</f>
        <v>39900</v>
      </c>
      <c r="I124" s="97"/>
      <c r="J124" s="131"/>
      <c r="K124" s="131"/>
    </row>
    <row r="125" spans="1:11" ht="21" customHeight="1" thickBot="1">
      <c r="A125" s="192">
        <f>'VENTAS NOVIEMBRE'!A14</f>
        <v>45972</v>
      </c>
      <c r="B125" s="69">
        <f>'VENTAS NOVIEMBRE'!E14</f>
        <v>44700</v>
      </c>
      <c r="C125" s="69">
        <f>'VENTAS NOVIEMBRE'!F14</f>
        <v>11700</v>
      </c>
      <c r="D125" s="69"/>
      <c r="E125" s="173">
        <f>'GASTOS NOVIEMBRE'!K35</f>
        <v>0</v>
      </c>
      <c r="F125" s="173">
        <v>0</v>
      </c>
      <c r="G125" s="73">
        <f>'GASTOS NOVIEMBRE'!M36</f>
        <v>0</v>
      </c>
      <c r="H125" s="174">
        <f t="shared" ref="H125" si="98">B125+C125-E125-F125</f>
        <v>56400</v>
      </c>
      <c r="I125" s="97"/>
      <c r="J125" s="131"/>
      <c r="K125" s="131"/>
    </row>
    <row r="126" spans="1:11" ht="21" customHeight="1" thickBot="1">
      <c r="A126" s="192">
        <f>'VENTAS NOVIEMBRE'!A15</f>
        <v>45973</v>
      </c>
      <c r="B126" s="69">
        <f>'VENTAS NOVIEMBRE'!E15</f>
        <v>26400</v>
      </c>
      <c r="C126" s="69">
        <f>'VENTAS NOVIEMBRE'!F15</f>
        <v>13200</v>
      </c>
      <c r="D126" s="69"/>
      <c r="E126" s="173">
        <f>'GASTOS NOVIEMBRE'!K36</f>
        <v>0</v>
      </c>
      <c r="F126" s="173">
        <v>0</v>
      </c>
      <c r="G126" s="73">
        <f>'GASTOS NOVIEMBRE'!M37</f>
        <v>0</v>
      </c>
      <c r="H126" s="174">
        <f t="shared" ref="H126" si="99">B126+C126-E126-F126</f>
        <v>39600</v>
      </c>
      <c r="I126" s="97"/>
      <c r="J126" s="131"/>
      <c r="K126" s="131"/>
    </row>
    <row r="127" spans="1:11" ht="21" customHeight="1" thickBot="1">
      <c r="A127" s="192">
        <f>'VENTAS NOVIEMBRE'!A16</f>
        <v>45974</v>
      </c>
      <c r="B127" s="69">
        <f>'VENTAS NOVIEMBRE'!E16</f>
        <v>18300</v>
      </c>
      <c r="C127" s="69">
        <f>'VENTAS NOVIEMBRE'!F16</f>
        <v>7020</v>
      </c>
      <c r="D127" s="69"/>
      <c r="E127" s="173">
        <f>'GASTOS NOVIEMBRE'!K37</f>
        <v>0</v>
      </c>
      <c r="F127" s="173">
        <f>'GASTOS NOVIEMBRE'!L11</f>
        <v>15000</v>
      </c>
      <c r="G127" s="73">
        <f>'GASTOS NOVIEMBRE'!M38</f>
        <v>0</v>
      </c>
      <c r="H127" s="174">
        <f t="shared" ref="H127" si="100">B127+C127-E127-F127</f>
        <v>10320</v>
      </c>
      <c r="I127" s="97"/>
      <c r="J127" s="131"/>
      <c r="K127" s="131"/>
    </row>
    <row r="128" spans="1:11" ht="21" customHeight="1" thickBot="1">
      <c r="A128" s="192">
        <f>'VENTAS NOVIEMBRE'!A17</f>
        <v>45975</v>
      </c>
      <c r="B128" s="69">
        <f>'VENTAS NOVIEMBRE'!E17</f>
        <v>22700</v>
      </c>
      <c r="C128" s="69">
        <f>'VENTAS NOVIEMBRE'!F17</f>
        <v>14400</v>
      </c>
      <c r="D128" s="69">
        <v>144730</v>
      </c>
      <c r="E128" s="173">
        <f>'GASTOS NOVIEMBRE'!K38</f>
        <v>0</v>
      </c>
      <c r="F128" s="173">
        <f>'GASTOS NOVIEMBRE'!L30</f>
        <v>0</v>
      </c>
      <c r="G128" s="73">
        <f>'GASTOS NOVIEMBRE'!M12</f>
        <v>48630.28</v>
      </c>
      <c r="H128" s="174">
        <f t="shared" ref="H128" si="101">B128+C128-E128-F128</f>
        <v>37100</v>
      </c>
      <c r="I128" s="97"/>
      <c r="J128" s="131"/>
      <c r="K128" s="131"/>
    </row>
    <row r="129" spans="1:11" ht="21" customHeight="1" thickBot="1">
      <c r="A129" s="192">
        <f>'VENTAS NOVIEMBRE'!A18</f>
        <v>45976</v>
      </c>
      <c r="B129" s="69">
        <f>'VENTAS NOVIEMBRE'!E18</f>
        <v>61500</v>
      </c>
      <c r="C129" s="69">
        <f>'VENTAS NOVIEMBRE'!F18</f>
        <v>30600</v>
      </c>
      <c r="D129" s="69"/>
      <c r="E129" s="173">
        <f>'GASTOS NOVIEMBRE'!K39</f>
        <v>0</v>
      </c>
      <c r="F129" s="173">
        <f>'GASTOS NOVIEMBRE'!L31</f>
        <v>0</v>
      </c>
      <c r="G129" s="73">
        <f>'GASTOS NOVIEMBRE'!M30</f>
        <v>0</v>
      </c>
      <c r="H129" s="174">
        <f t="shared" ref="H129" si="102">B129+C129-E129-F129</f>
        <v>92100</v>
      </c>
      <c r="I129" s="97"/>
      <c r="J129" s="131"/>
      <c r="K129" s="131"/>
    </row>
    <row r="130" spans="1:11" ht="21" customHeight="1" thickBot="1">
      <c r="A130" s="192">
        <f>'VENTAS NOVIEMBRE'!A19</f>
        <v>45977</v>
      </c>
      <c r="B130" s="69">
        <f>'VENTAS NOVIEMBRE'!E19</f>
        <v>103800</v>
      </c>
      <c r="C130" s="69">
        <f>'VENTAS NOVIEMBRE'!F19</f>
        <v>32100</v>
      </c>
      <c r="D130" s="69"/>
      <c r="E130" s="173">
        <f>'GASTOS NOVIEMBRE'!K40</f>
        <v>0</v>
      </c>
      <c r="F130" s="173">
        <f>'GASTOS NOVIEMBRE'!L32</f>
        <v>0</v>
      </c>
      <c r="G130" s="73">
        <f>'GASTOS NOVIEMBRE'!M31</f>
        <v>0</v>
      </c>
      <c r="H130" s="174">
        <f t="shared" ref="H130" si="103">B130+C130-E130-F130</f>
        <v>135900</v>
      </c>
      <c r="I130" s="97"/>
      <c r="J130" s="131"/>
      <c r="K130" s="131"/>
    </row>
    <row r="131" spans="1:11" ht="21" customHeight="1" thickBot="1">
      <c r="A131" s="192">
        <f>'VENTAS NOVIEMBRE'!A20</f>
        <v>45978</v>
      </c>
      <c r="B131" s="69">
        <f>'VENTAS NOVIEMBRE'!E20</f>
        <v>3900</v>
      </c>
      <c r="C131" s="69">
        <f>'VENTAS NOVIEMBRE'!F20</f>
        <v>17100</v>
      </c>
      <c r="D131" s="69"/>
      <c r="E131" s="173">
        <f>'GASTOS NOVIEMBRE'!K16</f>
        <v>2900</v>
      </c>
      <c r="F131" s="173">
        <f>'GASTOS NOVIEMBRE'!L17+'GASTOS NOVIEMBRE'!L18</f>
        <v>59683.74</v>
      </c>
      <c r="G131" s="73">
        <f>'GASTOS NOVIEMBRE'!M32</f>
        <v>0</v>
      </c>
      <c r="H131" s="174">
        <f t="shared" ref="H131" si="104">B131+C131-E131-F131</f>
        <v>-41583.74</v>
      </c>
      <c r="I131" s="97"/>
      <c r="J131" s="131"/>
      <c r="K131" s="131"/>
    </row>
    <row r="132" spans="1:11" ht="21" customHeight="1" thickBot="1">
      <c r="A132" s="192">
        <f>'VENTAS NOVIEMBRE'!A21</f>
        <v>45979</v>
      </c>
      <c r="B132" s="69">
        <f>'VENTAS NOVIEMBRE'!E21</f>
        <v>46500</v>
      </c>
      <c r="C132" s="69">
        <f>'VENTAS NOVIEMBRE'!F21</f>
        <v>39000</v>
      </c>
      <c r="D132" s="69"/>
      <c r="E132" s="173">
        <f>'GASTOS NOVIEMBRE'!K17</f>
        <v>0</v>
      </c>
      <c r="F132" s="173">
        <f>'GASTOS NOVIEMBRE'!L18+'GASTOS NOVIEMBRE'!L30</f>
        <v>15103</v>
      </c>
      <c r="G132" s="73">
        <f>'GASTOS NOVIEMBRE'!M33</f>
        <v>0</v>
      </c>
      <c r="H132" s="174">
        <f t="shared" ref="H132" si="105">B132+C132-E132-F132</f>
        <v>70397</v>
      </c>
      <c r="I132" s="97"/>
      <c r="J132" s="131"/>
      <c r="K132" s="131"/>
    </row>
    <row r="133" spans="1:11" ht="21" customHeight="1" thickBot="1">
      <c r="A133" s="192">
        <f>'VENTAS NOVIEMBRE'!A22</f>
        <v>45980</v>
      </c>
      <c r="B133" s="69">
        <f>'VENTAS NOVIEMBRE'!E22</f>
        <v>10200</v>
      </c>
      <c r="C133" s="69">
        <f>'VENTAS NOVIEMBRE'!F22</f>
        <v>42300</v>
      </c>
      <c r="D133" s="69"/>
      <c r="E133" s="173">
        <f>'GASTOS NOVIEMBRE'!K15+'GASTOS NOVIEMBRE'!K19</f>
        <v>365000</v>
      </c>
      <c r="F133" s="173">
        <f>'GASTOS NOVIEMBRE'!L30+'GASTOS NOVIEMBRE'!L31</f>
        <v>0</v>
      </c>
      <c r="G133" s="73">
        <f>'GASTOS NOVIEMBRE'!M34</f>
        <v>0</v>
      </c>
      <c r="H133" s="174">
        <f t="shared" ref="H133" si="106">B133+C133-E133-F133</f>
        <v>-312500</v>
      </c>
      <c r="I133" s="97"/>
      <c r="J133" s="131"/>
      <c r="K133" s="131"/>
    </row>
    <row r="134" spans="1:11" ht="21" customHeight="1" thickBot="1">
      <c r="A134" s="192">
        <f>'VENTAS NOVIEMBRE'!A23</f>
        <v>45981</v>
      </c>
      <c r="B134" s="69">
        <f>'VENTAS NOVIEMBRE'!E23</f>
        <v>3900</v>
      </c>
      <c r="C134" s="69">
        <f>'VENTAS NOVIEMBRE'!F23</f>
        <v>6300</v>
      </c>
      <c r="D134" s="69"/>
      <c r="E134" s="173">
        <f>0</f>
        <v>0</v>
      </c>
      <c r="F134" s="173">
        <f>'GASTOS NOVIEMBRE'!L31+'GASTOS NOVIEMBRE'!L32</f>
        <v>0</v>
      </c>
      <c r="G134" s="73">
        <f>'GASTOS NOVIEMBRE'!M35</f>
        <v>0</v>
      </c>
      <c r="H134" s="174">
        <f t="shared" ref="H134" si="107">B134+C134-E134-F134</f>
        <v>10200</v>
      </c>
      <c r="I134" s="97"/>
      <c r="J134" s="131"/>
      <c r="K134" s="131"/>
    </row>
    <row r="135" spans="1:11" ht="21" customHeight="1" thickBot="1">
      <c r="A135" s="192">
        <f>'VENTAS NOVIEMBRE'!A24</f>
        <v>45982</v>
      </c>
      <c r="B135" s="69">
        <f>'VENTAS NOVIEMBRE'!E24</f>
        <v>19200</v>
      </c>
      <c r="C135" s="69">
        <f>'VENTAS NOVIEMBRE'!F24</f>
        <v>37200</v>
      </c>
      <c r="D135" s="69"/>
      <c r="E135" s="173">
        <f>0</f>
        <v>0</v>
      </c>
      <c r="F135" s="173">
        <f>'GASTOS NOVIEMBRE'!L32+'GASTOS NOVIEMBRE'!L33</f>
        <v>0</v>
      </c>
      <c r="G135" s="73">
        <f>'GASTOS NOVIEMBRE'!M36</f>
        <v>0</v>
      </c>
      <c r="H135" s="174">
        <f t="shared" ref="H135" si="108">B135+C135-E135-F135</f>
        <v>56400</v>
      </c>
      <c r="I135" s="97"/>
      <c r="J135" s="131"/>
      <c r="K135" s="131"/>
    </row>
    <row r="136" spans="1:11" ht="21" customHeight="1" thickBot="1">
      <c r="A136" s="192">
        <f>'VENTAS NOVIEMBRE'!A25</f>
        <v>45983</v>
      </c>
      <c r="B136" s="69">
        <f>'VENTAS NOVIEMBRE'!E25</f>
        <v>18900</v>
      </c>
      <c r="C136" s="69">
        <f>'VENTAS NOVIEMBRE'!F25</f>
        <v>29100</v>
      </c>
      <c r="D136" s="69"/>
      <c r="E136" s="173">
        <f>0</f>
        <v>0</v>
      </c>
      <c r="F136" s="173">
        <f>'GASTOS NOVIEMBRE'!L33+'GASTOS NOVIEMBRE'!L34</f>
        <v>0</v>
      </c>
      <c r="G136" s="73">
        <f>'GASTOS NOVIEMBRE'!M37</f>
        <v>0</v>
      </c>
      <c r="H136" s="174">
        <f t="shared" ref="H136" si="109">B136+C136-E136-F136</f>
        <v>48000</v>
      </c>
      <c r="I136" s="97"/>
      <c r="J136" s="131"/>
      <c r="K136" s="131"/>
    </row>
    <row r="137" spans="1:11" ht="21" customHeight="1" thickBot="1">
      <c r="A137" s="192">
        <f>'VENTAS NOVIEMBRE'!A26</f>
        <v>45984</v>
      </c>
      <c r="B137" s="69">
        <f>'VENTAS NOVIEMBRE'!E26</f>
        <v>6300</v>
      </c>
      <c r="C137" s="69">
        <f>'VENTAS NOVIEMBRE'!F26</f>
        <v>43200</v>
      </c>
      <c r="D137" s="69"/>
      <c r="E137" s="173">
        <f>0</f>
        <v>0</v>
      </c>
      <c r="F137" s="173">
        <f>'GASTOS NOVIEMBRE'!L34+'GASTOS NOVIEMBRE'!L35</f>
        <v>0</v>
      </c>
      <c r="G137" s="73">
        <f>'GASTOS NOVIEMBRE'!M38</f>
        <v>0</v>
      </c>
      <c r="H137" s="174">
        <f t="shared" ref="H137" si="110">B137+C137-E137-F137</f>
        <v>49500</v>
      </c>
      <c r="I137" s="97"/>
      <c r="J137" s="131"/>
      <c r="K137" s="131"/>
    </row>
    <row r="138" spans="1:11" ht="21" customHeight="1" thickBot="1">
      <c r="A138" s="192">
        <f>'VENTAS NOVIEMBRE'!A27</f>
        <v>45985</v>
      </c>
      <c r="B138" s="69">
        <f>'VENTAS NOVIEMBRE'!E27</f>
        <v>47700</v>
      </c>
      <c r="C138" s="69">
        <f>'VENTAS NOVIEMBRE'!F27</f>
        <v>15900</v>
      </c>
      <c r="D138" s="69"/>
      <c r="E138" s="173">
        <f>0</f>
        <v>0</v>
      </c>
      <c r="F138" s="173">
        <f>'GASTOS NOVIEMBRE'!L35+'GASTOS NOVIEMBRE'!L36</f>
        <v>0</v>
      </c>
      <c r="G138" s="73">
        <f>'GASTOS NOVIEMBRE'!M39</f>
        <v>0</v>
      </c>
      <c r="H138" s="174">
        <f t="shared" ref="H138" si="111">B138+C138-E138-F138</f>
        <v>63600</v>
      </c>
      <c r="I138" s="97"/>
      <c r="J138" s="131"/>
      <c r="K138" s="131"/>
    </row>
    <row r="139" spans="1:11" ht="21" customHeight="1" thickBot="1">
      <c r="A139" s="192">
        <f>'VENTAS NOVIEMBRE'!A28</f>
        <v>45986</v>
      </c>
      <c r="B139" s="69">
        <f>'VENTAS NOVIEMBRE'!E28</f>
        <v>0</v>
      </c>
      <c r="C139" s="69">
        <f>'VENTAS NOVIEMBRE'!F28</f>
        <v>9900</v>
      </c>
      <c r="D139" s="69">
        <v>112740</v>
      </c>
      <c r="E139" s="173">
        <f>0</f>
        <v>0</v>
      </c>
      <c r="F139" s="173">
        <f>'GASTOS NOVIEMBRE'!L36+'GASTOS NOVIEMBRE'!L37</f>
        <v>0</v>
      </c>
      <c r="G139" s="73">
        <f>'GASTOS NOVIEMBRE'!M20</f>
        <v>48096.97</v>
      </c>
      <c r="H139" s="174">
        <f t="shared" ref="H139" si="112">B139+C139-E139-F139</f>
        <v>9900</v>
      </c>
      <c r="I139" s="97"/>
      <c r="J139" s="131"/>
      <c r="K139" s="131"/>
    </row>
    <row r="140" spans="1:11" ht="21" customHeight="1" thickBot="1">
      <c r="A140" s="192">
        <f>'VENTAS NOVIEMBRE'!A29</f>
        <v>45987</v>
      </c>
      <c r="B140" s="69">
        <f>'VENTAS NOVIEMBRE'!E29</f>
        <v>29400</v>
      </c>
      <c r="C140" s="69">
        <f>'VENTAS NOVIEMBRE'!F29</f>
        <v>0</v>
      </c>
      <c r="D140" s="69">
        <v>0</v>
      </c>
      <c r="E140" s="173">
        <f>0</f>
        <v>0</v>
      </c>
      <c r="F140" s="173">
        <f>'GASTOS NOVIEMBRE'!L21</f>
        <v>16000</v>
      </c>
      <c r="G140" s="73">
        <f>'GASTOS NOVIEMBRE'!M30</f>
        <v>0</v>
      </c>
      <c r="H140" s="174">
        <f t="shared" ref="H140" si="113">B140+C140-E140-F140</f>
        <v>13400</v>
      </c>
      <c r="I140" s="97"/>
      <c r="J140" s="131"/>
      <c r="K140" s="131"/>
    </row>
    <row r="141" spans="1:11" ht="21" customHeight="1" thickBot="1">
      <c r="A141" s="192">
        <f>'VENTAS NOVIEMBRE'!A30</f>
        <v>45988</v>
      </c>
      <c r="B141" s="69">
        <f>'VENTAS NOVIEMBRE'!E30</f>
        <v>26400</v>
      </c>
      <c r="C141" s="69">
        <f>'VENTAS NOVIEMBRE'!F30</f>
        <v>0</v>
      </c>
      <c r="D141" s="69">
        <v>0</v>
      </c>
      <c r="E141" s="173">
        <f>'GASTOS NOVIEMBRE'!K22+'GASTOS NOVIEMBRE'!K23</f>
        <v>30000</v>
      </c>
      <c r="F141" s="173">
        <f>'GASTOS NOVIEMBRE'!L30</f>
        <v>0</v>
      </c>
      <c r="G141" s="73">
        <f>'GASTOS NOVIEMBRE'!M31</f>
        <v>0</v>
      </c>
      <c r="H141" s="174">
        <f t="shared" ref="H141" si="114">B141+C141-E141-F141</f>
        <v>-3600</v>
      </c>
      <c r="I141" s="97"/>
      <c r="J141" s="131"/>
      <c r="K141" s="131"/>
    </row>
    <row r="142" spans="1:11" ht="21" customHeight="1" thickBot="1">
      <c r="A142" s="192">
        <f>'VENTAS NOVIEMBRE'!A31</f>
        <v>45989</v>
      </c>
      <c r="B142" s="69">
        <f>'VENTAS NOVIEMBRE'!E31</f>
        <v>5400</v>
      </c>
      <c r="C142" s="69">
        <f>'VENTAS NOVIEMBRE'!F31</f>
        <v>4200</v>
      </c>
      <c r="D142" s="69">
        <v>0</v>
      </c>
      <c r="E142" s="173">
        <v>0</v>
      </c>
      <c r="F142" s="173">
        <f>'GASTOS NOVIEMBRE'!L31</f>
        <v>0</v>
      </c>
      <c r="G142" s="73">
        <f>'GASTOS NOVIEMBRE'!M32</f>
        <v>0</v>
      </c>
      <c r="H142" s="174">
        <f t="shared" ref="H142" si="115">B142+C142-E142-F142</f>
        <v>9600</v>
      </c>
      <c r="I142" s="97"/>
      <c r="J142" s="131"/>
      <c r="K142" s="131"/>
    </row>
    <row r="143" spans="1:11" ht="21" customHeight="1" thickBot="1">
      <c r="A143" s="192">
        <f>'VENTAS NOVIEMBRE'!A32</f>
        <v>45990</v>
      </c>
      <c r="B143" s="69">
        <f>'VENTAS NOVIEMBRE'!E32</f>
        <v>37500</v>
      </c>
      <c r="C143" s="69">
        <f>'VENTAS NOVIEMBRE'!F32</f>
        <v>31200</v>
      </c>
      <c r="D143" s="69">
        <v>162100</v>
      </c>
      <c r="E143" s="173">
        <f>'GASTOS NOVIEMBRE'!K24</f>
        <v>44000</v>
      </c>
      <c r="F143" s="173">
        <f>'GASTOS NOVIEMBRE'!L32</f>
        <v>0</v>
      </c>
      <c r="G143" s="73">
        <f>'GASTOS NOVIEMBRE'!M25</f>
        <v>77944.61</v>
      </c>
      <c r="H143" s="174">
        <f t="shared" ref="H143" si="116">B143+C143-E143-F143</f>
        <v>24700</v>
      </c>
      <c r="I143" s="97"/>
      <c r="J143" s="131"/>
      <c r="K143" s="131"/>
    </row>
    <row r="144" spans="1:11" s="119" customFormat="1" ht="21" customHeight="1" thickBot="1">
      <c r="A144" s="211">
        <f>'VENTAS NOVIEMBRE'!A33</f>
        <v>45991</v>
      </c>
      <c r="B144" s="116">
        <f>'VENTAS NOVIEMBRE'!E33</f>
        <v>126900</v>
      </c>
      <c r="C144" s="116">
        <f>'VENTAS NOVIEMBRE'!F33</f>
        <v>70500</v>
      </c>
      <c r="D144" s="116"/>
      <c r="E144" s="117">
        <v>0</v>
      </c>
      <c r="F144" s="117">
        <f>'GASTOS NOVIEMBRE'!L29+'GASTOS NOVIEMBRE'!L28</f>
        <v>456000</v>
      </c>
      <c r="G144" s="117">
        <f>'GASTOS NOVIEMBRE'!M28</f>
        <v>244000</v>
      </c>
      <c r="H144" s="212">
        <f t="shared" ref="H144" si="117">B144+C144-E144-F144</f>
        <v>-258600</v>
      </c>
      <c r="I144" s="213"/>
      <c r="J144" s="214"/>
      <c r="K144" s="214"/>
    </row>
    <row r="145" spans="1:11" ht="21" customHeight="1" thickTop="1" thickBot="1">
      <c r="A145" s="192">
        <f>'VENTAS DICIEMBRE'!A4</f>
        <v>45992</v>
      </c>
      <c r="B145" s="208">
        <f>'VENTAS DICIEMBRE'!E4</f>
        <v>7200</v>
      </c>
      <c r="C145" s="208">
        <f>'VENTAS DICIEMBRE'!F4</f>
        <v>9900</v>
      </c>
      <c r="D145" s="208">
        <v>0</v>
      </c>
      <c r="E145" s="209">
        <f>'GASTOS DICIEMBRE'!K5</f>
        <v>131700</v>
      </c>
      <c r="F145" s="209">
        <f>'GASTOS DICIEMBRE'!L6</f>
        <v>6470</v>
      </c>
      <c r="G145" s="210">
        <v>0</v>
      </c>
      <c r="H145" s="174">
        <f t="shared" ref="H145" si="118">B145+C145-E145-F145</f>
        <v>-121070</v>
      </c>
      <c r="I145" s="97"/>
      <c r="J145" s="131"/>
      <c r="K145" s="131"/>
    </row>
    <row r="146" spans="1:11" ht="21" customHeight="1" thickBot="1">
      <c r="A146" s="192">
        <f>'VENTAS DICIEMBRE'!A5</f>
        <v>45993</v>
      </c>
      <c r="B146" s="208">
        <f>'VENTAS DICIEMBRE'!E5</f>
        <v>7200</v>
      </c>
      <c r="C146" s="208">
        <f>'VENTAS DICIEMBRE'!F5</f>
        <v>7600</v>
      </c>
      <c r="D146" s="208">
        <v>0</v>
      </c>
      <c r="E146" s="209">
        <f>'GASTOS DICIEMBRE'!K6</f>
        <v>0</v>
      </c>
      <c r="F146" s="209">
        <f>'GASTOS DICIEMBRE'!L8</f>
        <v>0</v>
      </c>
      <c r="G146" s="210">
        <v>0</v>
      </c>
      <c r="H146" s="174">
        <f t="shared" ref="H146" si="119">B146+C146-E146-F146</f>
        <v>14800</v>
      </c>
      <c r="I146" s="97"/>
      <c r="J146" s="131"/>
      <c r="K146" s="131"/>
    </row>
    <row r="147" spans="1:11" ht="21" customHeight="1" thickBot="1">
      <c r="A147" s="192">
        <f>'VENTAS DICIEMBRE'!A6</f>
        <v>45994</v>
      </c>
      <c r="B147" s="208">
        <f>'VENTAS DICIEMBRE'!E6</f>
        <v>2600</v>
      </c>
      <c r="C147" s="208">
        <f>'VENTAS DICIEMBRE'!F6</f>
        <v>0</v>
      </c>
      <c r="D147" s="208">
        <v>0</v>
      </c>
      <c r="E147" s="209">
        <v>0</v>
      </c>
      <c r="F147" s="209">
        <f>'GASTOS DICIEMBRE'!L9</f>
        <v>0</v>
      </c>
      <c r="G147" s="210">
        <v>0</v>
      </c>
      <c r="H147" s="174">
        <f t="shared" ref="H147" si="120">B147+C147-E147-F147</f>
        <v>2600</v>
      </c>
      <c r="I147" s="97"/>
      <c r="J147" s="131"/>
      <c r="K147" s="131"/>
    </row>
    <row r="148" spans="1:11" ht="21" customHeight="1" thickBot="1">
      <c r="A148" s="192">
        <f>'VENTAS DICIEMBRE'!A7</f>
        <v>45995</v>
      </c>
      <c r="B148" s="208">
        <f>'VENTAS DICIEMBRE'!E7</f>
        <v>21200</v>
      </c>
      <c r="C148" s="208">
        <f>'VENTAS DICIEMBRE'!F7</f>
        <v>0</v>
      </c>
      <c r="D148" s="208">
        <v>0</v>
      </c>
      <c r="E148" s="209">
        <f>'GASTOS DICIEMBRE'!K7</f>
        <v>44500</v>
      </c>
      <c r="F148" s="209">
        <f>'GASTOS DICIEMBRE'!L26</f>
        <v>0</v>
      </c>
      <c r="G148" s="210">
        <v>0</v>
      </c>
      <c r="H148" s="174">
        <f t="shared" ref="H148" si="121">B148+C148-E148-F148</f>
        <v>-23300</v>
      </c>
      <c r="I148" s="97"/>
      <c r="J148" s="131"/>
      <c r="K148" s="131"/>
    </row>
    <row r="149" spans="1:11" ht="21" customHeight="1" thickBot="1">
      <c r="A149" s="192">
        <f>'VENTAS DICIEMBRE'!A8</f>
        <v>45996</v>
      </c>
      <c r="B149" s="208">
        <f>'VENTAS DICIEMBRE'!E8</f>
        <v>15700</v>
      </c>
      <c r="C149" s="208">
        <f>'VENTAS DICIEMBRE'!F8</f>
        <v>39400</v>
      </c>
      <c r="D149" s="208">
        <v>0</v>
      </c>
      <c r="E149" s="209">
        <v>0</v>
      </c>
      <c r="F149" s="209">
        <f>'GASTOS DICIEMBRE'!L33</f>
        <v>0</v>
      </c>
      <c r="G149" s="210">
        <v>0</v>
      </c>
      <c r="H149" s="174">
        <f t="shared" ref="H149" si="122">B149+C149-E149-F149</f>
        <v>55100</v>
      </c>
      <c r="I149" s="97"/>
      <c r="J149" s="131"/>
      <c r="K149" s="131"/>
    </row>
    <row r="150" spans="1:11" ht="21" customHeight="1" thickBot="1">
      <c r="A150" s="192">
        <f>'VENTAS DICIEMBRE'!A9</f>
        <v>45997</v>
      </c>
      <c r="B150" s="208">
        <f>'VENTAS DICIEMBRE'!E9</f>
        <v>49400</v>
      </c>
      <c r="C150" s="208">
        <f>'VENTAS DICIEMBRE'!F9</f>
        <v>23500</v>
      </c>
      <c r="D150" s="208">
        <v>0</v>
      </c>
      <c r="E150" s="209">
        <f>'GASTOS DICIEMBRE'!K9</f>
        <v>0</v>
      </c>
      <c r="F150" s="209">
        <f>'GASTOS DICIEMBRE'!L34</f>
        <v>0</v>
      </c>
      <c r="G150" s="210">
        <v>0</v>
      </c>
      <c r="H150" s="174">
        <f t="shared" ref="H150" si="123">B150+C150-E150-F150</f>
        <v>72900</v>
      </c>
      <c r="I150" s="97"/>
      <c r="J150" s="131"/>
      <c r="K150" s="131"/>
    </row>
    <row r="151" spans="1:11" ht="21" customHeight="1" thickBot="1">
      <c r="A151" s="192">
        <f>'VENTAS DICIEMBRE'!A10</f>
        <v>45998</v>
      </c>
      <c r="B151" s="208">
        <f>'VENTAS DICIEMBRE'!E10</f>
        <v>34800</v>
      </c>
      <c r="C151" s="208">
        <f>'VENTAS DICIEMBRE'!F10</f>
        <v>35800</v>
      </c>
      <c r="D151" s="208">
        <v>0</v>
      </c>
      <c r="E151" s="209">
        <f>'GASTOS DICIEMBRE'!K26</f>
        <v>0</v>
      </c>
      <c r="F151" s="209">
        <f>'GASTOS DICIEMBRE'!L35</f>
        <v>0</v>
      </c>
      <c r="G151" s="210">
        <v>0</v>
      </c>
      <c r="H151" s="174">
        <f t="shared" ref="H151" si="124">B151+C151-E151-F151</f>
        <v>70600</v>
      </c>
      <c r="I151" s="97"/>
      <c r="J151" s="131"/>
      <c r="K151" s="131"/>
    </row>
    <row r="152" spans="1:11" ht="21" customHeight="1" thickBot="1">
      <c r="A152" s="192">
        <f>'VENTAS DICIEMBRE'!A11</f>
        <v>45999</v>
      </c>
      <c r="B152" s="208">
        <f>'VENTAS DICIEMBRE'!E11</f>
        <v>48200</v>
      </c>
      <c r="C152" s="208">
        <f>'VENTAS DICIEMBRE'!F11</f>
        <v>5800</v>
      </c>
      <c r="D152" s="208">
        <v>94900</v>
      </c>
      <c r="E152" s="209">
        <f>'GASTOS DICIEMBRE'!K33</f>
        <v>0</v>
      </c>
      <c r="F152" s="209">
        <f>'GASTOS DICIEMBRE'!L36</f>
        <v>0</v>
      </c>
      <c r="G152" s="215">
        <f>'GASTOS DICIEMBRE'!M9</f>
        <v>29507.11</v>
      </c>
      <c r="H152" s="174">
        <f t="shared" ref="H152" si="125">B152+C152-E152-F152</f>
        <v>54000</v>
      </c>
      <c r="I152" s="97"/>
      <c r="J152" s="131"/>
      <c r="K152" s="131"/>
    </row>
    <row r="153" spans="1:11" ht="21" customHeight="1" thickBot="1">
      <c r="A153" s="192">
        <f>'VENTAS DICIEMBRE'!A12</f>
        <v>46000</v>
      </c>
      <c r="B153" s="208">
        <f>'VENTAS DICIEMBRE'!E12</f>
        <v>7200</v>
      </c>
      <c r="C153" s="208">
        <f>'VENTAS DICIEMBRE'!F12</f>
        <v>7800</v>
      </c>
      <c r="D153" s="208">
        <v>0</v>
      </c>
      <c r="E153" s="209">
        <f>'GASTOS DICIEMBRE'!K8+'GASTOS DICIEMBRE'!K10</f>
        <v>77900</v>
      </c>
      <c r="F153" s="209">
        <f>'GASTOS DICIEMBRE'!L37</f>
        <v>0</v>
      </c>
      <c r="G153" s="215">
        <f>'GASTOS DICIEMBRE'!M26</f>
        <v>0</v>
      </c>
      <c r="H153" s="174">
        <f t="shared" ref="H153" si="126">B153+C153-E153-F153</f>
        <v>-62900</v>
      </c>
      <c r="I153" s="97"/>
      <c r="J153" s="131"/>
      <c r="K153" s="131"/>
    </row>
    <row r="154" spans="1:11" ht="21" customHeight="1" thickBot="1">
      <c r="A154" s="192">
        <f>'VENTAS DICIEMBRE'!A13</f>
        <v>46001</v>
      </c>
      <c r="B154" s="208">
        <f>'VENTAS DICIEMBRE'!E13</f>
        <v>8200</v>
      </c>
      <c r="C154" s="208">
        <f>'VENTAS DICIEMBRE'!F13</f>
        <v>0</v>
      </c>
      <c r="D154" s="208">
        <v>0</v>
      </c>
      <c r="E154" s="209">
        <f>'GASTOS DICIEMBRE'!K9+'GASTOS DICIEMBRE'!K26</f>
        <v>0</v>
      </c>
      <c r="F154" s="209">
        <f>'GASTOS DICIEMBRE'!L38</f>
        <v>0</v>
      </c>
      <c r="G154" s="215">
        <f>'GASTOS DICIEMBRE'!M33</f>
        <v>0</v>
      </c>
      <c r="H154" s="174">
        <f t="shared" ref="H154" si="127">B154+C154-E154-F154</f>
        <v>8200</v>
      </c>
      <c r="I154" s="97"/>
      <c r="J154" s="131"/>
      <c r="K154" s="131"/>
    </row>
    <row r="155" spans="1:11" ht="21" customHeight="1" thickBot="1">
      <c r="A155" s="192">
        <f>'VENTAS DICIEMBRE'!A14</f>
        <v>46002</v>
      </c>
      <c r="B155" s="208">
        <f>'VENTAS DICIEMBRE'!E14</f>
        <v>8000</v>
      </c>
      <c r="C155" s="208">
        <f>'VENTAS DICIEMBRE'!F14</f>
        <v>3900</v>
      </c>
      <c r="D155" s="208">
        <v>0</v>
      </c>
      <c r="E155" s="209"/>
      <c r="F155" s="209">
        <f>'GASTOS DICIEMBRE'!L39</f>
        <v>0</v>
      </c>
      <c r="G155" s="215">
        <f>'GASTOS DICIEMBRE'!M34</f>
        <v>0</v>
      </c>
      <c r="H155" s="174">
        <f t="shared" ref="H155" si="128">B155+C155-E155-F155</f>
        <v>11900</v>
      </c>
      <c r="I155" s="97"/>
      <c r="J155" s="131"/>
      <c r="K155" s="131"/>
    </row>
    <row r="156" spans="1:11" ht="21" customHeight="1" thickBot="1">
      <c r="A156" s="192">
        <f>'VENTAS DICIEMBRE'!A15</f>
        <v>46003</v>
      </c>
      <c r="B156" s="208">
        <f>'VENTAS DICIEMBRE'!E15</f>
        <v>7800</v>
      </c>
      <c r="C156" s="208">
        <f>'VENTAS DICIEMBRE'!F15</f>
        <v>0</v>
      </c>
      <c r="D156" s="208">
        <v>112194</v>
      </c>
      <c r="E156" s="209"/>
      <c r="F156" s="209">
        <f>'GASTOS DICIEMBRE'!L40</f>
        <v>0</v>
      </c>
      <c r="G156" s="215">
        <f>'GASTOS DICIEMBRE'!G11</f>
        <v>48887.840000000004</v>
      </c>
      <c r="H156" s="174">
        <f t="shared" ref="H156" si="129">B156+C156-E156-F156</f>
        <v>7800</v>
      </c>
      <c r="I156" s="97"/>
      <c r="J156" s="131"/>
      <c r="K156" s="131"/>
    </row>
    <row r="157" spans="1:11" ht="21" customHeight="1" thickBot="1">
      <c r="A157" s="192">
        <f>'VENTAS DICIEMBRE'!A16</f>
        <v>46004</v>
      </c>
      <c r="B157" s="208">
        <f>'VENTAS DICIEMBRE'!E16</f>
        <v>46300</v>
      </c>
      <c r="C157" s="208">
        <f>'VENTAS DICIEMBRE'!F16</f>
        <v>14400</v>
      </c>
      <c r="D157" s="208"/>
      <c r="E157" s="209">
        <f>'GASTOS DICIEMBRE'!K12</f>
        <v>98000</v>
      </c>
      <c r="F157" s="209">
        <f>'GASTOS DICIEMBRE'!L41</f>
        <v>0</v>
      </c>
      <c r="G157" s="215">
        <f>'GASTOS DICIEMBRE'!G26</f>
        <v>0</v>
      </c>
      <c r="H157" s="174">
        <f t="shared" ref="H157" si="130">B157+C157-E157-F157</f>
        <v>-37300</v>
      </c>
      <c r="I157" s="97"/>
      <c r="J157" s="131"/>
      <c r="K157" s="131"/>
    </row>
    <row r="158" spans="1:11" ht="21" customHeight="1" thickBot="1">
      <c r="A158" s="192">
        <f>'VENTAS DICIEMBRE'!A17</f>
        <v>46005</v>
      </c>
      <c r="B158" s="208">
        <f>'VENTAS DICIEMBRE'!E17-700</f>
        <v>136900</v>
      </c>
      <c r="C158" s="208">
        <f>'VENTAS DICIEMBRE'!F17</f>
        <v>42500</v>
      </c>
      <c r="D158" s="208"/>
      <c r="E158" s="209">
        <f>'GASTOS DICIEMBRE'!K26</f>
        <v>0</v>
      </c>
      <c r="F158" s="209">
        <f>'GASTOS DICIEMBRE'!L13</f>
        <v>15000</v>
      </c>
      <c r="G158" s="215">
        <f>'GASTOS DICIEMBRE'!G27</f>
        <v>0</v>
      </c>
      <c r="H158" s="174">
        <f t="shared" ref="H158" si="131">B158+C158-E158-F158</f>
        <v>164400</v>
      </c>
      <c r="I158" s="97"/>
      <c r="J158" s="131"/>
      <c r="K158" s="131"/>
    </row>
    <row r="159" spans="1:11" ht="21" customHeight="1" thickBot="1">
      <c r="A159" s="192">
        <f>'VENTAS DICIEMBRE'!A18</f>
        <v>46006</v>
      </c>
      <c r="B159" s="208">
        <f>'VENTAS DICIEMBRE'!E18</f>
        <v>34300</v>
      </c>
      <c r="C159" s="208">
        <f>'VENTAS DICIEMBRE'!F18</f>
        <v>3600</v>
      </c>
      <c r="D159" s="208"/>
      <c r="E159" s="209">
        <v>0</v>
      </c>
      <c r="F159" s="209">
        <v>0</v>
      </c>
      <c r="G159" s="215"/>
      <c r="H159" s="174">
        <f t="shared" ref="H159" si="132">B159+C159-E159-F159</f>
        <v>37900</v>
      </c>
      <c r="I159" s="97"/>
      <c r="J159" s="131"/>
      <c r="K159" s="131"/>
    </row>
    <row r="160" spans="1:11" ht="21" customHeight="1" thickBot="1">
      <c r="A160" s="192">
        <f>'VENTAS DICIEMBRE'!A19</f>
        <v>46007</v>
      </c>
      <c r="B160" s="208">
        <f>'VENTAS DICIEMBRE'!E19</f>
        <v>28700</v>
      </c>
      <c r="C160" s="208">
        <f>'VENTAS DICIEMBRE'!F19</f>
        <v>19800</v>
      </c>
      <c r="D160" s="208"/>
      <c r="E160" s="209">
        <f>'GASTOS DICIEMBRE'!K15</f>
        <v>58200</v>
      </c>
      <c r="F160" s="209">
        <v>0</v>
      </c>
      <c r="G160" s="215"/>
      <c r="H160" s="174">
        <f t="shared" ref="H160" si="133">B160+C160-E160-F160</f>
        <v>-9700</v>
      </c>
      <c r="I160" s="97"/>
      <c r="J160" s="131"/>
      <c r="K160" s="131"/>
    </row>
    <row r="161" spans="1:11" ht="21" customHeight="1" thickBot="1">
      <c r="A161" s="192">
        <f>'VENTAS DICIEMBRE'!A20</f>
        <v>46008</v>
      </c>
      <c r="B161" s="208">
        <f>'VENTAS DICIEMBRE'!E20</f>
        <v>2600</v>
      </c>
      <c r="C161" s="208">
        <f>'VENTAS DICIEMBRE'!F20</f>
        <v>29400</v>
      </c>
      <c r="D161" s="208"/>
      <c r="E161" s="209">
        <f>'GASTOS DICIEMBRE'!K26</f>
        <v>0</v>
      </c>
      <c r="F161" s="209">
        <v>0</v>
      </c>
      <c r="G161" s="215"/>
      <c r="H161" s="174">
        <f t="shared" ref="H161" si="134">B161+C161-E161-F161</f>
        <v>32000</v>
      </c>
      <c r="I161" s="97"/>
      <c r="J161" s="131"/>
      <c r="K161" s="131"/>
    </row>
    <row r="162" spans="1:11" ht="21" customHeight="1" thickBot="1">
      <c r="A162" s="192">
        <f>'VENTAS DICIEMBRE'!A21</f>
        <v>46009</v>
      </c>
      <c r="B162" s="208">
        <f>'VENTAS DICIEMBRE'!E21</f>
        <v>12000</v>
      </c>
      <c r="C162" s="208">
        <f>'VENTAS DICIEMBRE'!F21</f>
        <v>7200</v>
      </c>
      <c r="D162" s="208"/>
      <c r="E162" s="209">
        <f>'GASTOS DICIEMBRE'!K27</f>
        <v>0</v>
      </c>
      <c r="F162" s="209">
        <v>0</v>
      </c>
      <c r="G162" s="215"/>
      <c r="H162" s="174">
        <f t="shared" ref="H162" si="135">B162+C162-E162-F162</f>
        <v>19200</v>
      </c>
      <c r="I162" s="97"/>
      <c r="J162" s="131"/>
      <c r="K162" s="131"/>
    </row>
    <row r="163" spans="1:11" ht="21" customHeight="1" thickBot="1">
      <c r="A163" s="192">
        <f>'VENTAS DICIEMBRE'!A22</f>
        <v>46010</v>
      </c>
      <c r="B163" s="208">
        <f>'VENTAS DICIEMBRE'!E22</f>
        <v>21200</v>
      </c>
      <c r="C163" s="208">
        <f>'VENTAS DICIEMBRE'!F22</f>
        <v>27600</v>
      </c>
      <c r="D163" s="208">
        <v>121700</v>
      </c>
      <c r="E163" s="209">
        <f>'GASTOS DICIEMBRE'!K16</f>
        <v>51000</v>
      </c>
      <c r="F163" s="209">
        <v>0</v>
      </c>
      <c r="G163" s="215">
        <f>'GASTOS DICIEMBRE'!G17</f>
        <v>38672.959999999999</v>
      </c>
      <c r="H163" s="174">
        <f t="shared" ref="H163" si="136">B163+C163-E163-F163</f>
        <v>-2200</v>
      </c>
      <c r="I163" s="97"/>
      <c r="J163" s="131"/>
      <c r="K163" s="131"/>
    </row>
    <row r="164" spans="1:11" ht="21" customHeight="1" thickBot="1">
      <c r="A164" s="192">
        <f>'VENTAS DICIEMBRE'!A23</f>
        <v>46011</v>
      </c>
      <c r="B164" s="208">
        <f>'VENTAS DICIEMBRE'!E23</f>
        <v>18000</v>
      </c>
      <c r="C164" s="208">
        <f>'VENTAS DICIEMBRE'!F23</f>
        <v>12000</v>
      </c>
      <c r="D164" s="208"/>
      <c r="E164" s="209">
        <f>'GASTOS DICIEMBRE'!K19</f>
        <v>18000</v>
      </c>
      <c r="F164" s="209">
        <f>'GASTOS DICIEMBRE'!L18</f>
        <v>44580.74</v>
      </c>
      <c r="G164" s="215"/>
      <c r="H164" s="174">
        <f t="shared" ref="H164" si="137">B164+C164-E164-F164</f>
        <v>-32580.739999999998</v>
      </c>
      <c r="I164" s="97"/>
      <c r="J164" s="131"/>
      <c r="K164" s="131"/>
    </row>
    <row r="165" spans="1:11" ht="21" customHeight="1" thickBot="1">
      <c r="A165" s="192">
        <f>'VENTAS DICIEMBRE'!A24</f>
        <v>46012</v>
      </c>
      <c r="B165" s="208">
        <f>'VENTAS DICIEMBRE'!E24</f>
        <v>15000</v>
      </c>
      <c r="C165" s="208">
        <f>'VENTAS DICIEMBRE'!F24</f>
        <v>40300</v>
      </c>
      <c r="D165" s="208"/>
      <c r="E165" s="209">
        <f>'GASTOS DICIEMBRE'!K26</f>
        <v>0</v>
      </c>
      <c r="F165" s="209">
        <f>'GASTOS DICIEMBRE'!L19</f>
        <v>0</v>
      </c>
      <c r="G165" s="215"/>
      <c r="H165" s="174">
        <f t="shared" ref="H165" si="138">B165+C165-E165-F165</f>
        <v>55300</v>
      </c>
      <c r="I165" s="97"/>
      <c r="J165" s="131"/>
      <c r="K165" s="131"/>
    </row>
    <row r="166" spans="1:11" ht="21" customHeight="1" thickBot="1">
      <c r="A166" s="192">
        <f>'VENTAS DICIEMBRE'!A25</f>
        <v>46013</v>
      </c>
      <c r="B166" s="208">
        <f>'VENTAS DICIEMBRE'!E25</f>
        <v>28600</v>
      </c>
      <c r="C166" s="208">
        <f>'VENTAS DICIEMBRE'!F25</f>
        <v>13800</v>
      </c>
      <c r="D166" s="208"/>
      <c r="E166" s="209">
        <f>'GASTOS DICIEMBRE'!G20+'GASTOS DICIEMBRE'!K22</f>
        <v>74200</v>
      </c>
      <c r="F166" s="209">
        <f>'GASTOS DICIEMBRE'!L20</f>
        <v>0</v>
      </c>
      <c r="G166" s="215"/>
      <c r="H166" s="174">
        <f t="shared" ref="H166" si="139">B166+C166-E166-F166</f>
        <v>-31800</v>
      </c>
      <c r="I166" s="97"/>
      <c r="J166" s="131"/>
      <c r="K166" s="131"/>
    </row>
    <row r="167" spans="1:11" ht="21" customHeight="1" thickBot="1">
      <c r="A167" s="192">
        <f>'VENTAS DICIEMBRE'!A26</f>
        <v>46014</v>
      </c>
      <c r="B167" s="208">
        <f>'VENTAS DICIEMBRE'!E26</f>
        <v>6600</v>
      </c>
      <c r="C167" s="208">
        <f>'VENTAS DICIEMBRE'!F26</f>
        <v>8000</v>
      </c>
      <c r="D167" s="208"/>
      <c r="E167" s="209"/>
      <c r="F167" s="209">
        <f>'GASTOS DICIEMBRE'!L21</f>
        <v>0</v>
      </c>
      <c r="G167" s="215"/>
      <c r="H167" s="174">
        <f t="shared" ref="H167" si="140">B167+C167-E167-F167</f>
        <v>14600</v>
      </c>
      <c r="I167" s="97"/>
      <c r="J167" s="131"/>
      <c r="K167" s="131"/>
    </row>
    <row r="168" spans="1:11" ht="21" customHeight="1" thickBot="1">
      <c r="A168" s="192">
        <f>'VENTAS DICIEMBRE'!A27</f>
        <v>46015</v>
      </c>
      <c r="B168" s="208">
        <f>'VENTAS DICIEMBRE'!E27</f>
        <v>25900</v>
      </c>
      <c r="C168" s="208">
        <f>'VENTAS DICIEMBRE'!F27</f>
        <v>0</v>
      </c>
      <c r="D168" s="208">
        <v>243167</v>
      </c>
      <c r="E168" s="209"/>
      <c r="F168" s="209">
        <f>'GASTOS DICIEMBRE'!L22</f>
        <v>0</v>
      </c>
      <c r="G168" s="215">
        <f>'GASTOS DICIEMBRE'!G23</f>
        <v>131165.1</v>
      </c>
      <c r="H168" s="174">
        <f t="shared" ref="H168" si="141">B168+C168-E168-F168</f>
        <v>25900</v>
      </c>
      <c r="I168" s="97"/>
      <c r="J168" s="131"/>
      <c r="K168" s="131"/>
    </row>
    <row r="169" spans="1:11" ht="21" customHeight="1" thickBot="1">
      <c r="A169" s="192">
        <f>'VENTAS DICIEMBRE'!A28</f>
        <v>46016</v>
      </c>
      <c r="B169" s="208">
        <f>'VENTAS DICIEMBRE'!E28</f>
        <v>0</v>
      </c>
      <c r="C169" s="208">
        <f>'VENTAS DICIEMBRE'!F28</f>
        <v>0</v>
      </c>
      <c r="D169" s="208"/>
      <c r="E169" s="209">
        <f>'GASTOS DICIEMBRE'!K24+'GASTOS DICIEMBRE'!K25</f>
        <v>283000</v>
      </c>
      <c r="F169" s="209">
        <f>'GASTOS DICIEMBRE'!L25</f>
        <v>290000</v>
      </c>
      <c r="G169" s="215">
        <f>'GASTOS DICIEMBRE'!M24+'GASTOS DICIEMBRE'!M25</f>
        <v>327000</v>
      </c>
      <c r="H169" s="174">
        <f t="shared" ref="H169" si="142">B169+C169-E169-F169</f>
        <v>-573000</v>
      </c>
      <c r="I169" s="97"/>
      <c r="J169" s="131"/>
      <c r="K169" s="131"/>
    </row>
    <row r="170" spans="1:11" ht="21" customHeight="1" thickBot="1">
      <c r="A170" s="192">
        <f>'VENTAS DICIEMBRE'!A29</f>
        <v>46017</v>
      </c>
      <c r="B170" s="208">
        <f>'VENTAS DICIEMBRE'!E29</f>
        <v>0</v>
      </c>
      <c r="C170" s="208">
        <f>'VENTAS DICIEMBRE'!F29</f>
        <v>6900</v>
      </c>
      <c r="D170" s="208"/>
      <c r="E170" s="209"/>
      <c r="F170" s="209">
        <f>'GASTOS DICIEMBRE'!L26</f>
        <v>0</v>
      </c>
      <c r="G170" s="215"/>
      <c r="H170" s="174">
        <f t="shared" ref="H170" si="143">B170+C170-E170-F170</f>
        <v>6900</v>
      </c>
      <c r="I170" s="97"/>
      <c r="J170" s="131"/>
      <c r="K170" s="131"/>
    </row>
    <row r="171" spans="1:11" ht="21" customHeight="1" thickBot="1">
      <c r="A171" s="192">
        <f>'VENTAS DICIEMBRE'!A30</f>
        <v>46018</v>
      </c>
      <c r="B171" s="208">
        <f>'VENTAS DICIEMBRE'!E30</f>
        <v>22300</v>
      </c>
      <c r="C171" s="208">
        <f>'VENTAS DICIEMBRE'!F30</f>
        <v>21200</v>
      </c>
      <c r="D171" s="208"/>
      <c r="E171" s="209"/>
      <c r="F171" s="209">
        <f>'GASTOS DICIEMBRE'!L27</f>
        <v>0</v>
      </c>
      <c r="G171" s="215"/>
      <c r="H171" s="174">
        <f t="shared" ref="H171" si="144">B171+C171-E171-F171</f>
        <v>43500</v>
      </c>
      <c r="I171" s="97"/>
      <c r="J171" s="131"/>
      <c r="K171" s="131"/>
    </row>
    <row r="172" spans="1:11" ht="21" customHeight="1" thickBot="1">
      <c r="A172" s="192">
        <f>'VENTAS DICIEMBRE'!A31</f>
        <v>46019</v>
      </c>
      <c r="B172" s="208">
        <f>'VENTAS DICIEMBRE'!E31</f>
        <v>12400</v>
      </c>
      <c r="C172" s="208">
        <f>'VENTAS DICIEMBRE'!F31</f>
        <v>39900</v>
      </c>
      <c r="D172" s="208"/>
      <c r="E172" s="209"/>
      <c r="F172" s="209">
        <f>'GASTOS DICIEMBRE'!L28</f>
        <v>0</v>
      </c>
      <c r="G172" s="215"/>
      <c r="H172" s="174">
        <f t="shared" ref="H172" si="145">B172+C172-E172-F172</f>
        <v>52300</v>
      </c>
      <c r="I172" s="97"/>
      <c r="J172" s="131"/>
      <c r="K172" s="131"/>
    </row>
    <row r="173" spans="1:11" ht="21" customHeight="1" thickBot="1">
      <c r="A173" s="192">
        <f>'VENTAS DICIEMBRE'!A32</f>
        <v>46020</v>
      </c>
      <c r="B173" s="208">
        <f>'VENTAS DICIEMBRE'!E32</f>
        <v>0</v>
      </c>
      <c r="C173" s="208">
        <f>'VENTAS DICIEMBRE'!F32</f>
        <v>0</v>
      </c>
      <c r="D173" s="208"/>
      <c r="E173" s="209"/>
      <c r="F173" s="209">
        <f>'GASTOS DICIEMBRE'!L29</f>
        <v>0</v>
      </c>
      <c r="G173" s="215"/>
      <c r="H173" s="174">
        <f t="shared" ref="H173" si="146">B173+C173-E173-F173</f>
        <v>0</v>
      </c>
      <c r="I173" s="97"/>
      <c r="J173" s="131"/>
      <c r="K173" s="131"/>
    </row>
    <row r="174" spans="1:11" ht="21" customHeight="1" thickBot="1">
      <c r="A174" s="192">
        <f>'VENTAS DICIEMBRE'!A33</f>
        <v>46021</v>
      </c>
      <c r="B174" s="208">
        <f>'VENTAS DICIEMBRE'!E33</f>
        <v>12000</v>
      </c>
      <c r="C174" s="208">
        <f>'VENTAS DICIEMBRE'!F33</f>
        <v>0</v>
      </c>
      <c r="D174" s="208"/>
      <c r="E174" s="209"/>
      <c r="F174" s="209">
        <f>'GASTOS DICIEMBRE'!L30</f>
        <v>0</v>
      </c>
      <c r="G174" s="215"/>
      <c r="H174" s="174">
        <f t="shared" ref="H174" si="147">B174+C174-E174-F174</f>
        <v>12000</v>
      </c>
      <c r="I174" s="97"/>
      <c r="J174" s="131"/>
      <c r="K174" s="131"/>
    </row>
    <row r="175" spans="1:11" s="225" customFormat="1" ht="21" customHeight="1" thickBot="1">
      <c r="A175" s="218">
        <f>'VENTAS DICIEMBRE'!A34</f>
        <v>46022</v>
      </c>
      <c r="B175" s="219">
        <f>'VENTAS DICIEMBRE'!E34</f>
        <v>0</v>
      </c>
      <c r="C175" s="219">
        <f>'VENTAS DICIEMBRE'!F34</f>
        <v>0</v>
      </c>
      <c r="D175" s="219"/>
      <c r="E175" s="220"/>
      <c r="F175" s="220">
        <f>'GASTOS DICIEMBRE'!L31</f>
        <v>0</v>
      </c>
      <c r="G175" s="221"/>
      <c r="H175" s="222">
        <f t="shared" ref="H175" si="148">B175+C175-E175-F175</f>
        <v>0</v>
      </c>
      <c r="I175" s="223"/>
      <c r="J175" s="224"/>
      <c r="K175" s="224"/>
    </row>
    <row r="176" spans="1:11" ht="21" customHeight="1" thickTop="1" thickBot="1">
      <c r="A176" s="192">
        <f>'VENTAS ENERO'!A4</f>
        <v>46023</v>
      </c>
      <c r="B176" s="208">
        <f>'VENTAS ENERO'!E4</f>
        <v>0</v>
      </c>
      <c r="C176" s="208">
        <f>'VENTAS ENERO'!F4</f>
        <v>0</v>
      </c>
      <c r="D176" s="208"/>
      <c r="E176" s="209"/>
      <c r="F176" s="209"/>
      <c r="G176" s="215"/>
      <c r="H176" s="174">
        <f t="shared" ref="H176" si="149">B176+C176-E176-F176</f>
        <v>0</v>
      </c>
      <c r="I176" s="97"/>
      <c r="J176" s="131"/>
      <c r="K176" s="131"/>
    </row>
    <row r="177" spans="1:11" ht="21" customHeight="1" thickBot="1">
      <c r="A177" s="192">
        <f>'VENTAS ENERO'!A5</f>
        <v>46024</v>
      </c>
      <c r="B177" s="208">
        <f>'VENTAS ENERO'!E5</f>
        <v>0</v>
      </c>
      <c r="C177" s="208">
        <f>'VENTAS ENERO'!F5</f>
        <v>0</v>
      </c>
      <c r="D177" s="208">
        <f>187400</f>
        <v>187400</v>
      </c>
      <c r="E177" s="209"/>
      <c r="F177" s="209"/>
      <c r="G177" s="215">
        <f>'GASTOS ENERO'!M4</f>
        <v>81435.459999999992</v>
      </c>
      <c r="H177" s="174">
        <f t="shared" ref="H177" si="150">B177+C177-E177-F177</f>
        <v>0</v>
      </c>
      <c r="I177" s="97"/>
      <c r="J177" s="131"/>
      <c r="K177" s="131"/>
    </row>
    <row r="178" spans="1:11" ht="21" customHeight="1" thickBot="1">
      <c r="A178" s="192">
        <f>'VENTAS ENERO'!A6</f>
        <v>46025</v>
      </c>
      <c r="B178" s="208">
        <f>'VENTAS ENERO'!E6</f>
        <v>39400</v>
      </c>
      <c r="C178" s="208">
        <f>'VENTAS ENERO'!F6</f>
        <v>20700</v>
      </c>
      <c r="D178" s="208"/>
      <c r="E178" s="209"/>
      <c r="F178" s="209"/>
      <c r="G178" s="215"/>
      <c r="H178" s="174">
        <f t="shared" ref="H178" si="151">B178+C178-E178-F178</f>
        <v>60100</v>
      </c>
      <c r="I178" s="97"/>
      <c r="J178" s="131"/>
      <c r="K178" s="131"/>
    </row>
    <row r="179" spans="1:11" ht="21" customHeight="1" thickBot="1">
      <c r="A179" s="192">
        <f>'VENTAS ENERO'!A7</f>
        <v>46026</v>
      </c>
      <c r="B179" s="208">
        <f>'VENTAS ENERO'!E7</f>
        <v>50600</v>
      </c>
      <c r="C179" s="208">
        <f>'VENTAS ENERO'!F7</f>
        <v>25900</v>
      </c>
      <c r="D179" s="208"/>
      <c r="E179" s="209"/>
      <c r="F179" s="209"/>
      <c r="G179" s="215"/>
      <c r="H179" s="174">
        <f t="shared" ref="H179" si="152">B179+C179-E179-F179</f>
        <v>76500</v>
      </c>
      <c r="I179" s="97"/>
      <c r="J179" s="131"/>
      <c r="K179" s="131"/>
    </row>
    <row r="180" spans="1:11" ht="21" customHeight="1" thickBot="1">
      <c r="A180" s="192">
        <f>'VENTAS ENERO'!A8</f>
        <v>46027</v>
      </c>
      <c r="B180" s="208">
        <f>'VENTAS ENERO'!E8</f>
        <v>0</v>
      </c>
      <c r="C180" s="208">
        <f>'VENTAS ENERO'!F8</f>
        <v>0</v>
      </c>
      <c r="D180" s="208"/>
      <c r="E180" s="209"/>
      <c r="F180" s="209"/>
      <c r="G180" s="215"/>
      <c r="H180" s="174">
        <f t="shared" ref="H180" si="153">B180+C180-E180-F180</f>
        <v>0</v>
      </c>
      <c r="I180" s="97"/>
      <c r="J180" s="131"/>
      <c r="K180" s="131"/>
    </row>
    <row r="181" spans="1:11" ht="21" customHeight="1" thickBot="1">
      <c r="A181" s="192">
        <f>'VENTAS ENERO'!A9</f>
        <v>46028</v>
      </c>
      <c r="B181" s="208">
        <f>'VENTAS ENERO'!E9</f>
        <v>0</v>
      </c>
      <c r="C181" s="208">
        <f>'VENTAS ENERO'!F9</f>
        <v>15600</v>
      </c>
      <c r="D181" s="208"/>
      <c r="E181" s="209"/>
      <c r="F181" s="209"/>
      <c r="G181" s="215"/>
      <c r="H181" s="174">
        <f t="shared" ref="H181" si="154">B181+C181-E181-F181</f>
        <v>15600</v>
      </c>
      <c r="I181" s="97"/>
      <c r="J181" s="131"/>
      <c r="K181" s="131"/>
    </row>
    <row r="182" spans="1:11" ht="21" customHeight="1" thickBot="1">
      <c r="A182" s="192">
        <f>'VENTAS ENERO'!A10</f>
        <v>46029</v>
      </c>
      <c r="B182" s="208">
        <f>'VENTAS ENERO'!E10</f>
        <v>0</v>
      </c>
      <c r="C182" s="208">
        <f>'VENTAS ENERO'!F10</f>
        <v>0</v>
      </c>
      <c r="D182" s="208"/>
      <c r="E182" s="209"/>
      <c r="F182" s="209"/>
      <c r="G182" s="215"/>
      <c r="H182" s="174">
        <f t="shared" ref="H182" si="155">B182+C182-E182-F182</f>
        <v>0</v>
      </c>
      <c r="I182" s="97"/>
      <c r="J182" s="131"/>
      <c r="K182" s="131"/>
    </row>
    <row r="183" spans="1:11" ht="21" customHeight="1" thickBot="1">
      <c r="A183" s="192">
        <f>'VENTAS ENERO'!A11</f>
        <v>46030</v>
      </c>
      <c r="B183" s="208">
        <f>'VENTAS ENERO'!E11</f>
        <v>25400</v>
      </c>
      <c r="C183" s="208">
        <f>'VENTAS ENERO'!F11</f>
        <v>43000</v>
      </c>
      <c r="D183" s="208"/>
      <c r="E183" s="209"/>
      <c r="F183" s="209">
        <f>'GASTOS ENERO'!L7</f>
        <v>39760</v>
      </c>
      <c r="G183" s="215"/>
      <c r="H183" s="174">
        <f t="shared" ref="H183" si="156">B183+C183-E183-F183</f>
        <v>28640</v>
      </c>
      <c r="I183" s="97"/>
      <c r="J183" s="131"/>
      <c r="K183" s="131"/>
    </row>
    <row r="184" spans="1:11" ht="21" customHeight="1" thickBot="1">
      <c r="A184" s="192">
        <f>'VENTAS ENERO'!A12</f>
        <v>46031</v>
      </c>
      <c r="B184" s="208">
        <f>'VENTAS ENERO'!E12</f>
        <v>32100</v>
      </c>
      <c r="C184" s="208">
        <f>'VENTAS ENERO'!F12</f>
        <v>8000</v>
      </c>
      <c r="D184" s="208">
        <v>130900</v>
      </c>
      <c r="E184" s="209"/>
      <c r="F184" s="209">
        <f>'GASTOS ENERO'!L5</f>
        <v>15000</v>
      </c>
      <c r="G184" s="215">
        <f>'GASTOS ENERO'!M6+'GASTOS ENERO'!M8+'GASTOS ENERO'!M9</f>
        <v>238789.78</v>
      </c>
      <c r="H184" s="174">
        <f t="shared" ref="H184" si="157">B184+C184-E184-F184</f>
        <v>25100</v>
      </c>
      <c r="I184" s="97"/>
      <c r="J184" s="131"/>
      <c r="K184" s="131"/>
    </row>
    <row r="185" spans="1:11" ht="21" customHeight="1" thickBot="1">
      <c r="A185" s="192">
        <f>'VENTAS ENERO'!A13</f>
        <v>46032</v>
      </c>
      <c r="B185" s="208">
        <f>'VENTAS ENERO'!E13</f>
        <v>12200</v>
      </c>
      <c r="C185" s="208">
        <f>'VENTAS ENERO'!F13</f>
        <v>13000</v>
      </c>
      <c r="D185" s="208"/>
      <c r="E185" s="209"/>
      <c r="F185" s="209">
        <f>'GASTOS ENERO'!L6</f>
        <v>0</v>
      </c>
      <c r="G185" s="215"/>
      <c r="H185" s="174">
        <f t="shared" ref="H185" si="158">B185+C185-E185-F185</f>
        <v>25200</v>
      </c>
      <c r="I185" s="97"/>
      <c r="J185" s="131"/>
      <c r="K185" s="131"/>
    </row>
    <row r="186" spans="1:11" ht="21" customHeight="1" thickBot="1">
      <c r="A186" s="192">
        <f>'VENTAS ENERO'!A14</f>
        <v>46033</v>
      </c>
      <c r="B186" s="208">
        <f>'VENTAS ENERO'!E14</f>
        <v>31500</v>
      </c>
      <c r="C186" s="208">
        <f>'VENTAS ENERO'!F14</f>
        <v>0</v>
      </c>
      <c r="D186" s="208"/>
      <c r="E186" s="209"/>
      <c r="F186" s="209"/>
      <c r="G186" s="215"/>
      <c r="H186" s="174">
        <f t="shared" ref="H186" si="159">B186+C186-E186-F186</f>
        <v>31500</v>
      </c>
      <c r="I186" s="97"/>
      <c r="J186" s="131"/>
      <c r="K186" s="131"/>
    </row>
    <row r="187" spans="1:11" ht="21" customHeight="1" thickBot="1">
      <c r="A187" s="192">
        <f>'VENTAS ENERO'!A15</f>
        <v>46034</v>
      </c>
      <c r="B187" s="208">
        <f>'VENTAS ENERO'!E15</f>
        <v>0</v>
      </c>
      <c r="C187" s="208">
        <f>'VENTAS ENERO'!F15</f>
        <v>0</v>
      </c>
      <c r="D187" s="208"/>
      <c r="E187" s="209"/>
      <c r="F187" s="209"/>
      <c r="G187" s="215"/>
      <c r="H187" s="174">
        <f t="shared" ref="H187" si="160">B187+C187-E187-F187</f>
        <v>0</v>
      </c>
      <c r="I187" s="97"/>
      <c r="J187" s="131"/>
      <c r="K187" s="131"/>
    </row>
    <row r="188" spans="1:11" ht="21" customHeight="1" thickBot="1">
      <c r="A188" s="192">
        <f>'VENTAS ENERO'!A16</f>
        <v>46035</v>
      </c>
      <c r="B188" s="208">
        <f>'VENTAS ENERO'!E16</f>
        <v>4900</v>
      </c>
      <c r="C188" s="208">
        <f>'VENTAS ENERO'!F16</f>
        <v>0</v>
      </c>
      <c r="D188" s="208"/>
      <c r="E188" s="209"/>
      <c r="F188" s="209"/>
      <c r="G188" s="215"/>
      <c r="H188" s="174">
        <f t="shared" ref="H188" si="161">B188+C188-E188-F188</f>
        <v>4900</v>
      </c>
      <c r="I188" s="97"/>
      <c r="J188" s="131"/>
      <c r="K188" s="131"/>
    </row>
    <row r="189" spans="1:11" ht="21" customHeight="1" thickBot="1">
      <c r="A189" s="192">
        <f>'VENTAS ENERO'!A17</f>
        <v>46036</v>
      </c>
      <c r="B189" s="208">
        <f>'VENTAS ENERO'!E17</f>
        <v>15600</v>
      </c>
      <c r="C189" s="208">
        <f>'VENTAS ENERO'!F17</f>
        <v>4600</v>
      </c>
      <c r="D189" s="208"/>
      <c r="E189" s="209">
        <f>'GASTOS ENERO'!K10</f>
        <v>51000</v>
      </c>
      <c r="F189" s="209"/>
      <c r="G189" s="215"/>
      <c r="H189" s="174">
        <f t="shared" ref="H189" si="162">B189+C189-E189-F189</f>
        <v>-30800</v>
      </c>
      <c r="I189" s="97"/>
      <c r="J189" s="131"/>
      <c r="K189" s="131"/>
    </row>
    <row r="190" spans="1:11" ht="21" customHeight="1" thickBot="1">
      <c r="A190" s="192">
        <f>'VENTAS ENERO'!A18</f>
        <v>46037</v>
      </c>
      <c r="B190" s="208">
        <f>'VENTAS ENERO'!E18</f>
        <v>17200</v>
      </c>
      <c r="C190" s="208">
        <f>'VENTAS ENERO'!F18</f>
        <v>36100</v>
      </c>
      <c r="D190" s="208"/>
      <c r="E190" s="209">
        <f>'GASTOS ENERO'!K28</f>
        <v>0</v>
      </c>
      <c r="F190" s="209"/>
      <c r="G190" s="215"/>
      <c r="H190" s="174">
        <f t="shared" ref="H190" si="163">B190+C190-E190-F190</f>
        <v>53300</v>
      </c>
      <c r="I190" s="97"/>
      <c r="J190" s="131"/>
      <c r="K190" s="131"/>
    </row>
    <row r="191" spans="1:11" ht="21" customHeight="1" thickBot="1">
      <c r="A191" s="192">
        <f>'VENTAS ENERO'!A19</f>
        <v>46038</v>
      </c>
      <c r="B191" s="208">
        <f>'VENTAS ENERO'!E19</f>
        <v>0</v>
      </c>
      <c r="C191" s="208">
        <f>'VENTAS ENERO'!F19</f>
        <v>34500</v>
      </c>
      <c r="D191" s="208">
        <v>91820</v>
      </c>
      <c r="E191" s="209">
        <f>'GASTOS ENERO'!K29</f>
        <v>0</v>
      </c>
      <c r="F191" s="209">
        <f>'GASTOS ENERO'!L12</f>
        <v>82700</v>
      </c>
      <c r="G191" s="215">
        <f>'GASTOS ENERO'!G13</f>
        <v>54128.880000000005</v>
      </c>
      <c r="H191" s="174">
        <f t="shared" ref="H191" si="164">B191+C191-E191-F191</f>
        <v>-48200</v>
      </c>
      <c r="I191" s="97"/>
      <c r="J191" s="131"/>
      <c r="K191" s="131"/>
    </row>
    <row r="192" spans="1:11" ht="21" customHeight="1" thickBot="1">
      <c r="A192" s="192">
        <f>'VENTAS ENERO'!A20</f>
        <v>46039</v>
      </c>
      <c r="B192" s="208">
        <f>'VENTAS ENERO'!E20</f>
        <v>40900</v>
      </c>
      <c r="C192" s="208">
        <f>'VENTAS ENERO'!F20</f>
        <v>15000</v>
      </c>
      <c r="D192" s="208"/>
      <c r="E192" s="209">
        <f>'GASTOS ENERO'!K30</f>
        <v>0</v>
      </c>
      <c r="F192" s="209">
        <f>'GASTOS ENERO'!L13</f>
        <v>0</v>
      </c>
      <c r="G192" s="215">
        <f>'GASTOS ENERO'!M14</f>
        <v>37750</v>
      </c>
      <c r="H192" s="174">
        <f t="shared" ref="H192" si="165">B192+C192-E192-F192</f>
        <v>55900</v>
      </c>
      <c r="I192" s="97"/>
      <c r="J192" s="131"/>
      <c r="K192" s="131"/>
    </row>
    <row r="193" spans="1:11" ht="21" customHeight="1" thickBot="1">
      <c r="A193" s="192">
        <f>'VENTAS ENERO'!A21</f>
        <v>46040</v>
      </c>
      <c r="B193" s="208">
        <f>'VENTAS ENERO'!E21</f>
        <v>116000</v>
      </c>
      <c r="C193" s="208">
        <f>'VENTAS ENERO'!F21</f>
        <v>50800</v>
      </c>
      <c r="D193" s="208"/>
      <c r="E193" s="209">
        <f>'GASTOS ENERO'!K31</f>
        <v>0</v>
      </c>
      <c r="F193" s="209">
        <f>'GASTOS ENERO'!L14</f>
        <v>0</v>
      </c>
      <c r="G193" s="215">
        <f>'GASTOS ENERO'!M28</f>
        <v>0</v>
      </c>
      <c r="H193" s="174">
        <f t="shared" ref="H193" si="166">B193+C193-E193-F193</f>
        <v>166800</v>
      </c>
      <c r="I193" s="97"/>
      <c r="J193" s="131"/>
      <c r="K193" s="131"/>
    </row>
    <row r="194" spans="1:11" ht="21" customHeight="1" thickBot="1">
      <c r="A194" s="192">
        <f>'VENTAS ENERO'!A22</f>
        <v>46041</v>
      </c>
      <c r="B194" s="208">
        <f>'VENTAS ENERO'!E22</f>
        <v>0</v>
      </c>
      <c r="C194" s="208">
        <f>'VENTAS ENERO'!F22</f>
        <v>0</v>
      </c>
      <c r="D194" s="208"/>
      <c r="E194" s="209">
        <f>'GASTOS ENERO'!K32</f>
        <v>0</v>
      </c>
      <c r="F194" s="209"/>
      <c r="G194" s="215">
        <f>'GASTOS ENERO'!M29</f>
        <v>0</v>
      </c>
      <c r="H194" s="174">
        <f t="shared" ref="H194" si="167">B194+C194-E194-F194</f>
        <v>0</v>
      </c>
      <c r="I194" s="97"/>
      <c r="J194" s="131"/>
      <c r="K194" s="131"/>
    </row>
    <row r="195" spans="1:11" ht="21" customHeight="1" thickBot="1">
      <c r="A195" s="192">
        <f>'VENTAS ENERO'!A23</f>
        <v>46042</v>
      </c>
      <c r="B195" s="208">
        <f>'VENTAS ENERO'!E23</f>
        <v>21900</v>
      </c>
      <c r="C195" s="208">
        <f>'VENTAS ENERO'!F23</f>
        <v>33900</v>
      </c>
      <c r="D195" s="208"/>
      <c r="E195" s="209">
        <f>'GASTOS ENERO'!K33</f>
        <v>0</v>
      </c>
      <c r="F195" s="209">
        <f>'GASTOS ENERO'!L17</f>
        <v>131700</v>
      </c>
      <c r="G195" s="215">
        <f>'GASTOS ENERO'!M30</f>
        <v>0</v>
      </c>
      <c r="H195" s="174">
        <f t="shared" ref="H195" si="168">B195+C195-E195-F195</f>
        <v>-75900</v>
      </c>
      <c r="I195" s="97"/>
      <c r="J195" s="131"/>
      <c r="K195" s="131"/>
    </row>
    <row r="196" spans="1:11" ht="21" customHeight="1" thickBot="1">
      <c r="A196" s="192">
        <f>'VENTAS ENERO'!A24</f>
        <v>46043</v>
      </c>
      <c r="B196" s="208">
        <f>'VENTAS ENERO'!E24</f>
        <v>14200</v>
      </c>
      <c r="C196" s="208">
        <f>'VENTAS ENERO'!F24</f>
        <v>34100</v>
      </c>
      <c r="D196" s="208"/>
      <c r="E196" s="209">
        <f>'GASTOS ENERO'!K34</f>
        <v>0</v>
      </c>
      <c r="F196" s="209">
        <f>'GASTOS ENERO'!L28</f>
        <v>0</v>
      </c>
      <c r="G196" s="215">
        <f>'GASTOS ENERO'!M31</f>
        <v>0</v>
      </c>
      <c r="H196" s="174">
        <f t="shared" ref="H196" si="169">B196+C196-E196-F196</f>
        <v>48300</v>
      </c>
      <c r="I196" s="97"/>
      <c r="J196" s="131"/>
      <c r="K196" s="131"/>
    </row>
    <row r="197" spans="1:11" ht="21" customHeight="1" thickBot="1">
      <c r="A197" s="192">
        <f>'VENTAS ENERO'!A25</f>
        <v>46044</v>
      </c>
      <c r="B197" s="208">
        <f>'VENTAS ENERO'!E25</f>
        <v>17000</v>
      </c>
      <c r="C197" s="208">
        <f>'VENTAS ENERO'!F25</f>
        <v>3000</v>
      </c>
      <c r="D197" s="208"/>
      <c r="E197" s="209">
        <f>'GASTOS ENERO'!K35</f>
        <v>0</v>
      </c>
      <c r="F197" s="209">
        <f>'GASTOS ENERO'!L29</f>
        <v>0</v>
      </c>
      <c r="G197" s="215">
        <f>'GASTOS ENERO'!M32</f>
        <v>0</v>
      </c>
      <c r="H197" s="174">
        <f t="shared" ref="H197" si="170">B197+C197-E197-F197</f>
        <v>20000</v>
      </c>
      <c r="I197" s="97"/>
      <c r="J197" s="131"/>
      <c r="K197" s="131"/>
    </row>
    <row r="198" spans="1:11" ht="21" customHeight="1" thickBot="1">
      <c r="A198" s="192">
        <f>'VENTAS ENERO'!A26</f>
        <v>46045</v>
      </c>
      <c r="B198" s="208">
        <f>'VENTAS ENERO'!E26</f>
        <v>10400</v>
      </c>
      <c r="C198" s="208">
        <f>'VENTAS ENERO'!F26</f>
        <v>32200</v>
      </c>
      <c r="D198" s="208"/>
      <c r="E198" s="209">
        <f>'GASTOS ENERO'!K36</f>
        <v>0</v>
      </c>
      <c r="F198" s="209">
        <f>'GASTOS ENERO'!L30</f>
        <v>0</v>
      </c>
      <c r="G198" s="215">
        <f>'GASTOS ENERO'!M33</f>
        <v>0</v>
      </c>
      <c r="H198" s="174">
        <f t="shared" ref="H198" si="171">B198+C198-E198-F198</f>
        <v>42600</v>
      </c>
      <c r="I198" s="97"/>
      <c r="J198" s="131"/>
      <c r="K198" s="131"/>
    </row>
    <row r="199" spans="1:11" ht="21" customHeight="1" thickBot="1">
      <c r="A199" s="192">
        <f>'VENTAS ENERO'!A27</f>
        <v>46046</v>
      </c>
      <c r="B199" s="208">
        <f>'VENTAS ENERO'!E27</f>
        <v>18800</v>
      </c>
      <c r="C199" s="208">
        <f>'VENTAS ENERO'!F27</f>
        <v>18000</v>
      </c>
      <c r="D199" s="208">
        <v>146500</v>
      </c>
      <c r="E199" s="209">
        <f>'GASTOS ENERO'!K37</f>
        <v>0</v>
      </c>
      <c r="F199" s="209">
        <f>'GASTOS ENERO'!L31</f>
        <v>0</v>
      </c>
      <c r="G199" s="215">
        <f>'GASTOS ENERO'!M18</f>
        <v>61189.4</v>
      </c>
      <c r="H199" s="174">
        <f t="shared" ref="H199" si="172">B199+C199-E199-F199</f>
        <v>36800</v>
      </c>
      <c r="I199" s="97"/>
      <c r="J199" s="131"/>
      <c r="K199" s="131"/>
    </row>
    <row r="200" spans="1:11" ht="21" customHeight="1" thickBot="1">
      <c r="A200" s="192">
        <f>'VENTAS ENERO'!A28</f>
        <v>46047</v>
      </c>
      <c r="B200" s="208">
        <f>'VENTAS ENERO'!E28</f>
        <v>92200</v>
      </c>
      <c r="C200" s="208">
        <f>'VENTAS ENERO'!F28</f>
        <v>33000</v>
      </c>
      <c r="D200" s="208"/>
      <c r="E200" s="117">
        <f>'GASTOS ENERO'!K38</f>
        <v>0</v>
      </c>
      <c r="F200" s="117"/>
      <c r="G200" s="117">
        <f>'GASTOS ENERO'!M19</f>
        <v>85310.6</v>
      </c>
      <c r="H200" s="174">
        <f t="shared" ref="H200" si="173">B200+C200-E200-F200</f>
        <v>125200</v>
      </c>
      <c r="I200" s="97"/>
      <c r="J200" s="131"/>
      <c r="K200" s="131"/>
    </row>
    <row r="201" spans="1:11" ht="21" customHeight="1" thickTop="1" thickBot="1">
      <c r="A201" s="192">
        <f>'VENTAS ENERO'!A29</f>
        <v>46048</v>
      </c>
      <c r="B201" s="208">
        <f>'VENTAS ENERO'!E29</f>
        <v>0</v>
      </c>
      <c r="C201" s="208">
        <f>'VENTAS ENERO'!F29</f>
        <v>0</v>
      </c>
      <c r="D201" s="208"/>
      <c r="E201" s="209">
        <f>'GASTOS ENERO'!K39</f>
        <v>0</v>
      </c>
      <c r="F201" s="209"/>
      <c r="G201" s="215">
        <f>'GASTOS ENERO'!M20</f>
        <v>0</v>
      </c>
      <c r="H201" s="174">
        <f t="shared" ref="H201" si="174">B201+C201-E201-F201</f>
        <v>0</v>
      </c>
      <c r="I201" s="97"/>
      <c r="J201" s="131"/>
      <c r="K201" s="131"/>
    </row>
    <row r="202" spans="1:11" ht="21" customHeight="1" thickBot="1">
      <c r="A202" s="192">
        <f>'VENTAS ENERO'!A30</f>
        <v>46049</v>
      </c>
      <c r="B202" s="208">
        <f>'VENTAS ENERO'!E30</f>
        <v>28000</v>
      </c>
      <c r="C202" s="208">
        <f>'VENTAS ENERO'!F30</f>
        <v>8000</v>
      </c>
      <c r="D202" s="208"/>
      <c r="E202" s="209">
        <f>'GASTOS ENERO'!K21</f>
        <v>51000</v>
      </c>
      <c r="F202" s="209">
        <f>'GASTOS ENERO'!L20</f>
        <v>18000</v>
      </c>
      <c r="G202" s="215">
        <f>'GASTOS ENERO'!M21</f>
        <v>0</v>
      </c>
      <c r="H202" s="174">
        <f t="shared" ref="H202" si="175">B202+C202-E202-F202</f>
        <v>-33000</v>
      </c>
      <c r="I202" s="97"/>
      <c r="J202" s="131"/>
      <c r="K202" s="131"/>
    </row>
    <row r="203" spans="1:11" ht="21" customHeight="1" thickBot="1">
      <c r="A203" s="192">
        <f>'VENTAS ENERO'!A31</f>
        <v>46050</v>
      </c>
      <c r="B203" s="208">
        <f>'VENTAS ENERO'!E31</f>
        <v>16800</v>
      </c>
      <c r="C203" s="208">
        <f>'VENTAS ENERO'!F31</f>
        <v>0</v>
      </c>
      <c r="D203" s="208"/>
      <c r="E203" s="209">
        <f>'GASTOS ENERO'!K28</f>
        <v>0</v>
      </c>
      <c r="F203" s="209">
        <f>'GASTOS ENERO'!L21</f>
        <v>0</v>
      </c>
      <c r="G203" s="215">
        <f>'GASTOS ENERO'!M28</f>
        <v>0</v>
      </c>
      <c r="H203" s="174">
        <f t="shared" ref="H203" si="176">B203+C203-E203-F203</f>
        <v>16800</v>
      </c>
      <c r="I203" s="97"/>
      <c r="J203" s="131"/>
      <c r="K203" s="131"/>
    </row>
    <row r="204" spans="1:11" ht="21" customHeight="1" thickBot="1">
      <c r="A204" s="192">
        <f>'VENTAS ENERO'!A32</f>
        <v>46051</v>
      </c>
      <c r="B204" s="208">
        <f>'VENTAS ENERO'!E32</f>
        <v>37700</v>
      </c>
      <c r="C204" s="208">
        <f>'VENTAS ENERO'!F32</f>
        <v>15600</v>
      </c>
      <c r="D204" s="208"/>
      <c r="E204" s="209">
        <f>'GASTOS ENERO'!K23</f>
        <v>214400</v>
      </c>
      <c r="F204" s="209">
        <f>'GASTOS ENERO'!L24</f>
        <v>27000</v>
      </c>
      <c r="G204" s="215">
        <f>'GASTOS ENERO'!M29</f>
        <v>0</v>
      </c>
      <c r="H204" s="174">
        <f t="shared" ref="H204" si="177">B204+C204-E204-F204</f>
        <v>-188100</v>
      </c>
      <c r="I204" s="97"/>
      <c r="J204" s="131"/>
      <c r="K204" s="131"/>
    </row>
    <row r="205" spans="1:11" ht="21" customHeight="1" thickBot="1">
      <c r="A205" s="192">
        <f>'VENTAS ENERO'!A33</f>
        <v>46052</v>
      </c>
      <c r="B205" s="208">
        <f>'VENTAS ENERO'!E33</f>
        <v>13800</v>
      </c>
      <c r="C205" s="208">
        <f>'VENTAS ENERO'!F33</f>
        <v>14600</v>
      </c>
      <c r="D205" s="208">
        <v>58200</v>
      </c>
      <c r="E205" s="117">
        <f>'GASTOS ENERO'!K24</f>
        <v>0</v>
      </c>
      <c r="F205" s="117">
        <f>'GASTOS ENERO'!L28</f>
        <v>0</v>
      </c>
      <c r="G205" s="117">
        <f>'GASTOS ENERO'!M25+'GASTOS ENERO'!M26</f>
        <v>58200</v>
      </c>
      <c r="H205" s="174">
        <f t="shared" ref="H205" si="178">B205+C205-E205-F205</f>
        <v>28400</v>
      </c>
      <c r="I205" s="97"/>
      <c r="J205" s="131"/>
      <c r="K205" s="131"/>
    </row>
    <row r="206" spans="1:11" ht="21" customHeight="1" thickTop="1" thickBot="1">
      <c r="A206" s="192">
        <f>'VENTAS ENERO'!A34</f>
        <v>46053</v>
      </c>
      <c r="B206" s="208">
        <f>'VENTAS ENERO'!E34</f>
        <v>10900</v>
      </c>
      <c r="C206" s="208">
        <f>'VENTAS ENERO'!F34</f>
        <v>21600</v>
      </c>
      <c r="D206" s="208"/>
      <c r="E206" s="117">
        <f>'GASTOS ENERO'!K27</f>
        <v>481800</v>
      </c>
      <c r="F206" s="117">
        <f>'GASTOS ENERO'!L27</f>
        <v>237250</v>
      </c>
      <c r="G206" s="117"/>
      <c r="H206" s="174">
        <f t="shared" ref="H206" si="179">B206+C206-E206-F206</f>
        <v>-686550</v>
      </c>
      <c r="I206" s="97"/>
      <c r="J206" s="131"/>
      <c r="K206" s="131"/>
    </row>
    <row r="207" spans="1:11" ht="21" customHeight="1" thickTop="1" thickBot="1">
      <c r="A207" s="192">
        <f>'VENTAS FEBRERO'!A4</f>
        <v>46054</v>
      </c>
      <c r="B207" s="208">
        <f>'VENTAS FEBRERO'!E4</f>
        <v>0</v>
      </c>
      <c r="C207" s="208">
        <f>'VENTAS FEBRERO'!F4</f>
        <v>36500</v>
      </c>
      <c r="D207" s="208"/>
      <c r="E207" s="209">
        <f>'GASTOS ENERO'!K26</f>
        <v>0</v>
      </c>
      <c r="F207" s="209">
        <f>'GASTOS ENERO'!L30</f>
        <v>0</v>
      </c>
      <c r="G207" s="215"/>
      <c r="H207" s="174">
        <f t="shared" ref="H207" si="180">B207+C207-E207-F207</f>
        <v>36500</v>
      </c>
      <c r="I207" s="97"/>
      <c r="J207" s="131"/>
      <c r="K207" s="131"/>
    </row>
    <row r="208" spans="1:11" ht="21" customHeight="1" thickBot="1">
      <c r="A208" s="192">
        <f>'VENTAS FEBRERO'!A5</f>
        <v>46055</v>
      </c>
      <c r="B208" s="208">
        <f>'VENTAS FEBRERO'!E5</f>
        <v>0</v>
      </c>
      <c r="C208" s="208">
        <f>'VENTAS FEBRERO'!F5</f>
        <v>0</v>
      </c>
      <c r="D208" s="208"/>
      <c r="E208" s="209">
        <f>'GASTOS ENERO'!K28</f>
        <v>0</v>
      </c>
      <c r="F208" s="209">
        <f>'GASTOS ENERO'!L31</f>
        <v>0</v>
      </c>
      <c r="G208" s="215"/>
      <c r="H208" s="174">
        <f t="shared" ref="H208" si="181">B208+C208-E208-F208</f>
        <v>0</v>
      </c>
      <c r="I208" s="97"/>
      <c r="J208" s="131"/>
      <c r="K208" s="131"/>
    </row>
    <row r="209" spans="1:11" ht="21" customHeight="1" thickBot="1">
      <c r="A209" s="192">
        <f>'VENTAS FEBRERO'!A6</f>
        <v>46056</v>
      </c>
      <c r="B209" s="208">
        <f>'VENTAS FEBRERO'!E6</f>
        <v>32800</v>
      </c>
      <c r="C209" s="208">
        <f>'VENTAS FEBRERO'!F6</f>
        <v>6900</v>
      </c>
      <c r="D209" s="208"/>
      <c r="E209" s="209">
        <f>'GASTOS ENERO'!K29</f>
        <v>0</v>
      </c>
      <c r="F209" s="209">
        <f>'GASTOS ENERO'!L32</f>
        <v>0</v>
      </c>
      <c r="G209" s="215"/>
      <c r="H209" s="174">
        <f t="shared" ref="H209" si="182">B209+C209-E209-F209</f>
        <v>39700</v>
      </c>
      <c r="I209" s="97"/>
      <c r="J209" s="131"/>
      <c r="K209" s="131"/>
    </row>
    <row r="210" spans="1:11" ht="21" customHeight="1" thickBot="1">
      <c r="A210" s="192">
        <f>'VENTAS FEBRERO'!A7</f>
        <v>46057</v>
      </c>
      <c r="B210" s="208">
        <f>'VENTAS FEBRERO'!E7</f>
        <v>6900</v>
      </c>
      <c r="C210" s="208">
        <f>'VENTAS FEBRERO'!F7</f>
        <v>56000</v>
      </c>
      <c r="D210" s="208"/>
      <c r="E210" s="209">
        <f>'GASTOS ENERO'!K30</f>
        <v>0</v>
      </c>
      <c r="F210" s="209">
        <f>'GASTOS ENERO'!L33</f>
        <v>0</v>
      </c>
      <c r="G210" s="215"/>
      <c r="H210" s="174">
        <f t="shared" ref="H210" si="183">B210+C210-E210-F210</f>
        <v>62900</v>
      </c>
      <c r="I210" s="97"/>
      <c r="J210" s="131"/>
      <c r="K210" s="131"/>
    </row>
    <row r="211" spans="1:11" ht="21" customHeight="1" thickBot="1">
      <c r="A211" s="192">
        <f>'VENTAS FEBRERO'!A8</f>
        <v>46058</v>
      </c>
      <c r="B211" s="208">
        <f>'VENTAS FEBRERO'!E8</f>
        <v>34100</v>
      </c>
      <c r="C211" s="208">
        <f>'VENTAS FEBRERO'!F8</f>
        <v>36800</v>
      </c>
      <c r="D211" s="208"/>
      <c r="E211" s="209">
        <f>'GASTOS ENERO'!K31</f>
        <v>0</v>
      </c>
      <c r="F211" s="209">
        <f>'GASTOS ENERO'!L34</f>
        <v>0</v>
      </c>
      <c r="G211" s="215"/>
      <c r="H211" s="174">
        <f t="shared" ref="H211" si="184">B211+C211-E211-F211</f>
        <v>70900</v>
      </c>
      <c r="I211" s="97"/>
      <c r="J211" s="131"/>
      <c r="K211" s="131"/>
    </row>
    <row r="212" spans="1:11" ht="21" customHeight="1" thickBot="1">
      <c r="A212" s="192">
        <f>'VENTAS FEBRERO'!A9</f>
        <v>46059</v>
      </c>
      <c r="B212" s="208">
        <f>'VENTAS FEBRERO'!E9</f>
        <v>0</v>
      </c>
      <c r="C212" s="208">
        <f>'VENTAS FEBRERO'!F9</f>
        <v>6600</v>
      </c>
      <c r="D212" s="208">
        <v>201100</v>
      </c>
      <c r="E212" s="209">
        <f>'GASTOS FEBRERO'!K4</f>
        <v>30000</v>
      </c>
      <c r="F212" s="209">
        <f>'GASTOS FEBRERO'!L4</f>
        <v>24000</v>
      </c>
      <c r="G212" s="215">
        <f>'GASTOS FEBRERO'!M5</f>
        <v>87490.510000000009</v>
      </c>
      <c r="H212" s="174">
        <f t="shared" ref="H212" si="185">B212+C212-E212-F212</f>
        <v>-47400</v>
      </c>
      <c r="I212" s="97"/>
      <c r="J212" s="131"/>
      <c r="K212" s="131"/>
    </row>
    <row r="213" spans="1:11" ht="21" customHeight="1" thickBot="1">
      <c r="A213" s="192">
        <f>'VENTAS FEBRERO'!A10</f>
        <v>46060</v>
      </c>
      <c r="B213" s="208">
        <f>'VENTAS FEBRERO'!E10</f>
        <v>8600</v>
      </c>
      <c r="C213" s="208">
        <f>'VENTAS FEBRERO'!F10</f>
        <v>20700</v>
      </c>
      <c r="D213" s="208"/>
      <c r="E213" s="113">
        <f>'GASTOS FEBRERO'!K5</f>
        <v>0</v>
      </c>
      <c r="F213" s="114">
        <f>'GASTOS ENERO'!L36</f>
        <v>0</v>
      </c>
      <c r="G213" s="113">
        <f>'GASTOS FEBRERO'!M6</f>
        <v>113609.49</v>
      </c>
      <c r="H213" s="174">
        <f t="shared" ref="H213" si="186">B213+C213-E213-F213</f>
        <v>29300</v>
      </c>
      <c r="I213" s="97"/>
      <c r="J213" s="131"/>
      <c r="K213" s="131"/>
    </row>
    <row r="214" spans="1:11" ht="21" customHeight="1" thickBot="1">
      <c r="A214" s="192">
        <f>'VENTAS FEBRERO'!A11</f>
        <v>46061</v>
      </c>
      <c r="B214" s="208">
        <f>'VENTAS FEBRERO'!E11</f>
        <v>62000</v>
      </c>
      <c r="C214" s="208">
        <f>'VENTAS FEBRERO'!F11</f>
        <v>76100</v>
      </c>
      <c r="D214" s="208"/>
      <c r="E214" s="209">
        <f>'GASTOS FEBRERO'!K6</f>
        <v>0</v>
      </c>
      <c r="F214" s="209">
        <f>'GASTOS FEBRERO'!L8</f>
        <v>138125</v>
      </c>
      <c r="G214" s="215">
        <f>'GASTOS FEBRERO'!M8</f>
        <v>100000</v>
      </c>
      <c r="H214" s="174">
        <f t="shared" ref="H214" si="187">B214+C214-E214-F214</f>
        <v>-25</v>
      </c>
      <c r="I214" s="97"/>
      <c r="J214" s="131"/>
      <c r="K214" s="131"/>
    </row>
    <row r="215" spans="1:11" ht="21" customHeight="1" thickBot="1">
      <c r="A215" s="192">
        <f>'VENTAS FEBRERO'!A12</f>
        <v>46062</v>
      </c>
      <c r="B215" s="208">
        <f>'VENTAS FEBRERO'!E12</f>
        <v>16100</v>
      </c>
      <c r="C215" s="208">
        <f>'VENTAS FEBRERO'!F12</f>
        <v>14400</v>
      </c>
      <c r="D215" s="208"/>
      <c r="E215" s="209">
        <f>'GASTOS FEBRERO'!K7</f>
        <v>0</v>
      </c>
      <c r="F215" s="209">
        <f>'GASTOS ENERO'!L38</f>
        <v>0</v>
      </c>
      <c r="G215" s="215">
        <f>'GASTOS FEBRERO'!M29</f>
        <v>0</v>
      </c>
      <c r="H215" s="174">
        <f t="shared" ref="H215" si="188">B215+C215-E215-F215</f>
        <v>30500</v>
      </c>
      <c r="I215" s="97"/>
      <c r="J215" s="131"/>
      <c r="K215" s="131"/>
    </row>
    <row r="216" spans="1:11" ht="21" customHeight="1" thickBot="1">
      <c r="A216" s="192">
        <f>'VENTAS FEBRERO'!A13</f>
        <v>46063</v>
      </c>
      <c r="B216" s="208">
        <f>'VENTAS FEBRERO'!E13</f>
        <v>26000</v>
      </c>
      <c r="C216" s="208">
        <f>'VENTAS FEBRERO'!F13</f>
        <v>17400</v>
      </c>
      <c r="D216" s="208"/>
      <c r="E216" s="209">
        <f>'GASTOS FEBRERO'!K8</f>
        <v>0</v>
      </c>
      <c r="F216" s="209">
        <f>'GASTOS ENERO'!L39</f>
        <v>0</v>
      </c>
      <c r="G216" s="215">
        <f>'GASTOS FEBRERO'!M30</f>
        <v>0</v>
      </c>
      <c r="H216" s="174">
        <f t="shared" ref="H216" si="189">B216+C216-E216-F216</f>
        <v>43400</v>
      </c>
      <c r="I216" s="97"/>
      <c r="J216" s="131"/>
      <c r="K216" s="131"/>
    </row>
    <row r="217" spans="1:11" ht="21" customHeight="1" thickBot="1">
      <c r="A217" s="192">
        <f>'VENTAS FEBRERO'!A14</f>
        <v>46064</v>
      </c>
      <c r="B217" s="208">
        <f>'VENTAS FEBRERO'!E14</f>
        <v>26700</v>
      </c>
      <c r="C217" s="208">
        <f>'VENTAS FEBRERO'!F14</f>
        <v>26900</v>
      </c>
      <c r="D217" s="208"/>
      <c r="E217" s="209">
        <f>'GASTOS FEBRERO'!K14</f>
        <v>0</v>
      </c>
      <c r="F217" s="209">
        <f>'GASTOS ENERO'!L40</f>
        <v>0</v>
      </c>
      <c r="G217" s="215">
        <f>'GASTOS FEBRERO'!M31</f>
        <v>0</v>
      </c>
      <c r="H217" s="174">
        <f t="shared" ref="H217" si="190">B217+C217-E217-F217</f>
        <v>53600</v>
      </c>
      <c r="I217" s="97"/>
      <c r="J217" s="131"/>
      <c r="K217" s="131"/>
    </row>
    <row r="218" spans="1:11" ht="21" customHeight="1" thickBot="1">
      <c r="A218" s="192">
        <f>'VENTAS FEBRERO'!A15</f>
        <v>46065</v>
      </c>
      <c r="B218" s="208">
        <f>'VENTAS FEBRERO'!E15</f>
        <v>31600</v>
      </c>
      <c r="C218" s="208">
        <f>'VENTAS FEBRERO'!F15</f>
        <v>10800</v>
      </c>
      <c r="D218" s="208">
        <v>208000</v>
      </c>
      <c r="E218" s="209">
        <f>'GASTOS FEBRERO'!K29</f>
        <v>0</v>
      </c>
      <c r="F218" s="209">
        <f>'GASTOS FEBRERO'!L9</f>
        <v>50550</v>
      </c>
      <c r="G218" s="215">
        <f>'GASTOS FEBRERO'!M10</f>
        <v>99032.010000000009</v>
      </c>
      <c r="H218" s="174">
        <f t="shared" ref="H218" si="191">B218+C218-E218-F218</f>
        <v>-8150</v>
      </c>
      <c r="I218" s="97"/>
      <c r="J218" s="131"/>
      <c r="K218" s="131"/>
    </row>
    <row r="219" spans="1:11" ht="21" customHeight="1" thickBot="1">
      <c r="A219" s="192">
        <f>'VENTAS FEBRERO'!A16</f>
        <v>46066</v>
      </c>
      <c r="B219" s="208">
        <f>'VENTAS FEBRERO'!E16</f>
        <v>58800</v>
      </c>
      <c r="C219" s="208">
        <f>'VENTAS FEBRERO'!F16</f>
        <v>46300</v>
      </c>
      <c r="D219" s="208"/>
      <c r="E219" s="209">
        <f>'GASTOS FEBRERO'!K30</f>
        <v>0</v>
      </c>
      <c r="F219" s="209">
        <f>'GASTOS FEBRERO'!L11</f>
        <v>54600</v>
      </c>
      <c r="G219" s="215">
        <f>'GASTOS FEBRERO'!M14</f>
        <v>0</v>
      </c>
      <c r="H219" s="174">
        <f t="shared" ref="H219" si="192">B219+C219-E219-F219</f>
        <v>50500</v>
      </c>
      <c r="I219" s="97"/>
      <c r="J219" s="131"/>
      <c r="K219" s="131"/>
    </row>
    <row r="220" spans="1:11" ht="21" customHeight="1" thickBot="1">
      <c r="A220" s="192">
        <f>'VENTAS FEBRERO'!A17</f>
        <v>46067</v>
      </c>
      <c r="B220" s="208">
        <f>'VENTAS FEBRERO'!E17</f>
        <v>31600</v>
      </c>
      <c r="C220" s="208">
        <f>'VENTAS FEBRERO'!F17</f>
        <v>36400</v>
      </c>
      <c r="D220" s="208"/>
      <c r="E220" s="209">
        <f>'GASTOS FEBRERO'!K31</f>
        <v>0</v>
      </c>
      <c r="F220" s="209"/>
      <c r="G220" s="215">
        <f>'GASTOS FEBRERO'!M29</f>
        <v>0</v>
      </c>
      <c r="H220" s="174">
        <f t="shared" ref="H220" si="193">B220+C220-E220-F220</f>
        <v>68000</v>
      </c>
      <c r="I220" s="97"/>
      <c r="J220" s="131"/>
      <c r="K220" s="131"/>
    </row>
    <row r="221" spans="1:11" ht="21" customHeight="1" thickBot="1">
      <c r="A221" s="192">
        <f>'VENTAS FEBRERO'!A18</f>
        <v>46068</v>
      </c>
      <c r="B221" s="208">
        <f>'VENTAS FEBRERO'!E18</f>
        <v>30400</v>
      </c>
      <c r="C221" s="208">
        <f>'VENTAS FEBRERO'!F18</f>
        <v>35400</v>
      </c>
      <c r="D221" s="208"/>
      <c r="E221" s="209">
        <f>'GASTOS FEBRERO'!K32</f>
        <v>0</v>
      </c>
      <c r="F221" s="209"/>
      <c r="G221" s="215">
        <f>'GASTOS FEBRERO'!M30</f>
        <v>0</v>
      </c>
      <c r="H221" s="174">
        <f t="shared" ref="H221" si="194">B221+C221-E221-F221</f>
        <v>65800</v>
      </c>
      <c r="I221" s="97"/>
      <c r="J221" s="131"/>
      <c r="K221" s="131">
        <f>K3+K5</f>
        <v>168100</v>
      </c>
    </row>
    <row r="222" spans="1:11" ht="21" customHeight="1" thickBot="1">
      <c r="A222" s="192">
        <f>'VENTAS FEBRERO'!A19</f>
        <v>46069</v>
      </c>
      <c r="B222" s="208">
        <f>'VENTAS FEBRERO'!E19</f>
        <v>19500</v>
      </c>
      <c r="C222" s="208">
        <f>'VENTAS FEBRERO'!F19</f>
        <v>41800</v>
      </c>
      <c r="D222" s="208"/>
      <c r="E222" s="209">
        <f>'GASTOS FEBRERO'!K33</f>
        <v>0</v>
      </c>
      <c r="F222" s="209"/>
      <c r="G222" s="215">
        <f>'GASTOS FEBRERO'!M31</f>
        <v>0</v>
      </c>
      <c r="H222" s="174">
        <f t="shared" ref="H222" si="195">B222+C222-E222-F222</f>
        <v>61300</v>
      </c>
      <c r="I222" s="97"/>
      <c r="J222" s="131"/>
      <c r="K222" s="131"/>
    </row>
    <row r="223" spans="1:11" ht="21" customHeight="1" thickBot="1">
      <c r="A223" s="192">
        <f>'VENTAS FEBRERO'!A20</f>
        <v>46070</v>
      </c>
      <c r="B223" s="208">
        <f>'VENTAS FEBRERO'!E20</f>
        <v>13100</v>
      </c>
      <c r="C223" s="208">
        <f>'VENTAS FEBRERO'!F20</f>
        <v>26500</v>
      </c>
      <c r="D223" s="208"/>
      <c r="E223" s="209">
        <f>'GASTOS FEBRERO'!K34</f>
        <v>0</v>
      </c>
      <c r="F223" s="209">
        <f>'GASTOS FEBRERO'!L13+'GASTOS FEBRERO'!L14+'GASTOS FEBRERO'!L16</f>
        <v>123065.73999999999</v>
      </c>
      <c r="G223" s="215">
        <f>'GASTOS FEBRERO'!M32</f>
        <v>0</v>
      </c>
      <c r="H223" s="174">
        <f t="shared" ref="H223" si="196">B223+C223-E223-F223</f>
        <v>-83465.739999999991</v>
      </c>
      <c r="I223" s="97"/>
      <c r="J223" s="131"/>
      <c r="K223" s="131"/>
    </row>
    <row r="224" spans="1:11" ht="21" customHeight="1" thickBot="1">
      <c r="A224" s="192">
        <f>'VENTAS FEBRERO'!A21</f>
        <v>46071</v>
      </c>
      <c r="B224" s="208">
        <f>'VENTAS FEBRERO'!E21</f>
        <v>25800</v>
      </c>
      <c r="C224" s="208">
        <f>'VENTAS FEBRERO'!F21</f>
        <v>15000</v>
      </c>
      <c r="D224" s="208"/>
      <c r="E224" s="209">
        <f>'GASTOS FEBRERO'!K17</f>
        <v>367690</v>
      </c>
      <c r="F224" s="209"/>
      <c r="G224" s="215">
        <f>'GASTOS FEBRERO'!M33</f>
        <v>0</v>
      </c>
      <c r="H224" s="174">
        <f t="shared" ref="H224" si="197">B224+C224-E224-F224</f>
        <v>-326890</v>
      </c>
      <c r="I224" s="97"/>
      <c r="J224" s="131"/>
      <c r="K224" s="131"/>
    </row>
    <row r="225" spans="1:11" ht="21" customHeight="1" thickBot="1">
      <c r="A225" s="192">
        <f>'VENTAS FEBRERO'!A22</f>
        <v>46072</v>
      </c>
      <c r="B225" s="208">
        <f>'VENTAS FEBRERO'!E22</f>
        <v>11200</v>
      </c>
      <c r="C225" s="208">
        <f>'VENTAS FEBRERO'!F22</f>
        <v>0</v>
      </c>
      <c r="D225" s="208">
        <v>267835</v>
      </c>
      <c r="E225" s="209">
        <f>'GASTOS FEBRERO'!K29</f>
        <v>0</v>
      </c>
      <c r="F225" s="209"/>
      <c r="G225" s="215">
        <f>'GASTOS FEBRERO'!M18</f>
        <v>112210.71</v>
      </c>
      <c r="H225" s="174">
        <f t="shared" ref="H225" si="198">B225+C225-E225-F225</f>
        <v>11200</v>
      </c>
      <c r="I225" s="97"/>
      <c r="J225" s="131"/>
      <c r="K225" s="131"/>
    </row>
    <row r="226" spans="1:11" ht="21" customHeight="1" thickBot="1">
      <c r="A226" s="192">
        <f>'VENTAS FEBRERO'!A23</f>
        <v>46073</v>
      </c>
      <c r="B226" s="208">
        <f>'VENTAS FEBRERO'!E23</f>
        <v>27200</v>
      </c>
      <c r="C226" s="208">
        <f>'VENTAS FEBRERO'!F23</f>
        <v>18600</v>
      </c>
      <c r="D226" s="208"/>
      <c r="E226" s="209">
        <f>'GASTOS FEBRERO'!K19</f>
        <v>8000</v>
      </c>
      <c r="F226" s="209"/>
      <c r="G226" s="215">
        <f>'GASTOS FEBRERO'!M20+'GASTOS FEBRERO'!M16</f>
        <v>155624.29</v>
      </c>
      <c r="H226" s="174">
        <f t="shared" ref="H226" si="199">B226+C226-E226-F226</f>
        <v>37800</v>
      </c>
      <c r="I226" s="97"/>
      <c r="J226" s="131"/>
      <c r="K226" s="131"/>
    </row>
    <row r="227" spans="1:11" ht="21" customHeight="1" thickBot="1">
      <c r="A227" s="192">
        <f>'VENTAS FEBRERO'!A24</f>
        <v>46074</v>
      </c>
      <c r="B227" s="208">
        <f>'VENTAS FEBRERO'!E24</f>
        <v>50900</v>
      </c>
      <c r="C227" s="208">
        <f>'VENTAS FEBRERO'!F24</f>
        <v>13700</v>
      </c>
      <c r="D227" s="208"/>
      <c r="E227" s="209">
        <f>'GASTOS FEBRERO'!K21</f>
        <v>50550</v>
      </c>
      <c r="F227" s="209"/>
      <c r="G227" s="215">
        <f>'GASTOS FEBRERO'!M29+'GASTOS FEBRERO'!M17</f>
        <v>0</v>
      </c>
      <c r="H227" s="174">
        <f t="shared" ref="H227" si="200">B227+C227-E227-F227</f>
        <v>14050</v>
      </c>
      <c r="I227" s="97"/>
      <c r="J227" s="131"/>
      <c r="K227" s="131"/>
    </row>
    <row r="228" spans="1:11" ht="21" customHeight="1" thickBot="1">
      <c r="A228" s="192">
        <f>'VENTAS FEBRERO'!A25</f>
        <v>46075</v>
      </c>
      <c r="B228" s="208">
        <f>'VENTAS FEBRERO'!E25</f>
        <v>87500</v>
      </c>
      <c r="C228" s="208">
        <f>'VENTAS FEBRERO'!F25</f>
        <v>53400</v>
      </c>
      <c r="D228" s="208"/>
      <c r="E228" s="209">
        <f>'GASTOS FEBRERO'!K29</f>
        <v>0</v>
      </c>
      <c r="F228" s="209"/>
      <c r="G228" s="215"/>
      <c r="H228" s="174">
        <f t="shared" ref="H228" si="201">B228+C228-E228-F228</f>
        <v>140900</v>
      </c>
      <c r="I228" s="97"/>
      <c r="J228" s="131"/>
      <c r="K228" s="131"/>
    </row>
    <row r="229" spans="1:11" ht="21" customHeight="1" thickBot="1">
      <c r="A229" s="192">
        <f>'VENTAS FEBRERO'!A26</f>
        <v>46076</v>
      </c>
      <c r="B229" s="208">
        <f>'VENTAS FEBRERO'!E26</f>
        <v>24400</v>
      </c>
      <c r="C229" s="208">
        <f>'VENTAS FEBRERO'!F26</f>
        <v>65900</v>
      </c>
      <c r="D229" s="208"/>
      <c r="E229" s="209">
        <f>'GASTOS FEBRERO'!K22</f>
        <v>54600</v>
      </c>
      <c r="F229" s="209">
        <f>'GASTOS FEBRERO'!L23</f>
        <v>18000</v>
      </c>
      <c r="G229" s="215"/>
      <c r="H229" s="174">
        <f t="shared" ref="H229" si="202">B229+C229-E229-F229</f>
        <v>17700</v>
      </c>
      <c r="I229" s="97"/>
      <c r="J229" s="131"/>
      <c r="K229" s="131"/>
    </row>
    <row r="230" spans="1:11" ht="21" customHeight="1" thickBot="1">
      <c r="A230" s="192">
        <f>'VENTAS FEBRERO'!A27</f>
        <v>46077</v>
      </c>
      <c r="B230" s="208">
        <f>'VENTAS FEBRERO'!E27</f>
        <v>41000</v>
      </c>
      <c r="C230" s="208">
        <f>'VENTAS FEBRERO'!F27</f>
        <v>10800</v>
      </c>
      <c r="D230" s="208"/>
      <c r="E230" s="209">
        <f>'GASTOS FEBRERO'!K23</f>
        <v>0</v>
      </c>
      <c r="F230" s="209">
        <f>'GASTOS FEBRERO'!L29</f>
        <v>0</v>
      </c>
      <c r="G230" s="215"/>
      <c r="H230" s="174">
        <f t="shared" ref="H230" si="203">B230+C230-E230-F230</f>
        <v>51800</v>
      </c>
      <c r="I230" s="97"/>
      <c r="J230" s="131"/>
      <c r="K230" s="131"/>
    </row>
    <row r="231" spans="1:11" ht="21" customHeight="1" thickBot="1">
      <c r="A231" s="192">
        <f>'VENTAS FEBRERO'!A28</f>
        <v>46078</v>
      </c>
      <c r="B231" s="208">
        <f>'VENTAS FEBRERO'!E28</f>
        <v>7400</v>
      </c>
      <c r="C231" s="208">
        <f>'VENTAS FEBRERO'!F28</f>
        <v>5200</v>
      </c>
      <c r="D231" s="208"/>
      <c r="E231" s="209">
        <f>'GASTOS FEBRERO'!K29</f>
        <v>0</v>
      </c>
      <c r="F231" s="209">
        <f>'GASTOS FEBRERO'!L30</f>
        <v>0</v>
      </c>
      <c r="G231" s="215"/>
      <c r="H231" s="174">
        <f t="shared" ref="H231" si="204">B231+C231-E231-F231</f>
        <v>12600</v>
      </c>
      <c r="I231" s="97"/>
      <c r="J231" s="131"/>
      <c r="K231" s="131">
        <f>K3+K5</f>
        <v>168100</v>
      </c>
    </row>
    <row r="232" spans="1:11" ht="21" customHeight="1" thickBot="1">
      <c r="A232" s="192">
        <f>'VENTAS FEBRERO'!A29</f>
        <v>46079</v>
      </c>
      <c r="B232" s="208">
        <f>'VENTAS FEBRERO'!E29</f>
        <v>44200</v>
      </c>
      <c r="C232" s="208">
        <f>'VENTAS FEBRERO'!F29</f>
        <v>37800</v>
      </c>
      <c r="D232" s="208">
        <v>225400</v>
      </c>
      <c r="E232" s="209">
        <f>'GASTOS FEBRERO'!K30</f>
        <v>0</v>
      </c>
      <c r="F232" s="209">
        <f>'GASTOS FEBRERO'!L31</f>
        <v>0</v>
      </c>
      <c r="G232" s="215">
        <f>'GASTOS FEBRERO'!M24</f>
        <v>127085.72</v>
      </c>
      <c r="H232" s="174">
        <f t="shared" ref="H232" si="205">B232+C232-E232-F232</f>
        <v>82000</v>
      </c>
      <c r="I232" s="97"/>
      <c r="J232" s="131"/>
      <c r="K232" s="131"/>
    </row>
    <row r="233" spans="1:11" ht="21" customHeight="1" thickBot="1">
      <c r="A233" s="192">
        <f>'VENTAS FEBRERO'!A30</f>
        <v>46080</v>
      </c>
      <c r="B233" s="208">
        <f>'VENTAS FEBRERO'!E30</f>
        <v>25100</v>
      </c>
      <c r="C233" s="208">
        <f>'VENTAS FEBRERO'!F30</f>
        <v>14800</v>
      </c>
      <c r="D233" s="208"/>
      <c r="E233" s="209">
        <f>'GASTOS FEBRERO'!K27</f>
        <v>190450</v>
      </c>
      <c r="F233" s="209">
        <f>'GASTOS FEBRERO'!L32</f>
        <v>0</v>
      </c>
      <c r="G233" s="215">
        <f>'GASTOS FEBRERO'!M28</f>
        <v>98314.28</v>
      </c>
      <c r="H233" s="174">
        <f t="shared" ref="H233" si="206">B233+C233-E233-F233</f>
        <v>-150550</v>
      </c>
      <c r="I233" s="97"/>
      <c r="J233" s="131"/>
      <c r="K233" s="131"/>
    </row>
    <row r="234" spans="1:11" ht="21" customHeight="1" thickBot="1">
      <c r="A234" s="192">
        <f>'VENTAS FEBRERO'!A31</f>
        <v>46081</v>
      </c>
      <c r="B234" s="208">
        <f>'VENTAS FEBRERO'!E31</f>
        <v>111100</v>
      </c>
      <c r="C234" s="208">
        <f>'VENTAS FEBRERO'!F31</f>
        <v>13200</v>
      </c>
      <c r="D234" s="208"/>
      <c r="E234" s="209">
        <f>'GASTOS FEBRERO'!K28</f>
        <v>0</v>
      </c>
      <c r="F234" s="209">
        <f>'GASTOS FEBRERO'!L33</f>
        <v>0</v>
      </c>
      <c r="G234" s="215">
        <f>'GASTOS FEBRERO'!M29</f>
        <v>0</v>
      </c>
      <c r="H234" s="174">
        <f t="shared" ref="H234" si="207">B234+C234-E234-F234</f>
        <v>124300</v>
      </c>
      <c r="I234" s="97"/>
      <c r="J234" s="131"/>
      <c r="K234" s="131"/>
    </row>
    <row r="235" spans="1:11" ht="21" customHeight="1" thickBot="1">
      <c r="A235" s="192">
        <f>'VENTAS MARZO'!A4</f>
        <v>46082</v>
      </c>
      <c r="B235" s="208">
        <f>'VENTAS MARZO'!E4</f>
        <v>67600</v>
      </c>
      <c r="C235" s="208">
        <f>'VENTAS MARZO'!F4</f>
        <v>39900</v>
      </c>
      <c r="D235" s="208"/>
      <c r="E235" s="209">
        <f>'GASTOS FEBRERO'!K29</f>
        <v>0</v>
      </c>
      <c r="F235" s="209">
        <f>'GASTOS MARZO'!L4</f>
        <v>335000</v>
      </c>
      <c r="G235" s="215">
        <f>'GASTOS FEBRERO'!M30</f>
        <v>0</v>
      </c>
      <c r="H235" s="174">
        <f t="shared" ref="H235" si="208">B235+C235-E235-F235</f>
        <v>-227500</v>
      </c>
      <c r="I235" s="97"/>
      <c r="J235" s="131"/>
      <c r="K235" s="131"/>
    </row>
    <row r="236" spans="1:11" ht="21" customHeight="1" thickBot="1">
      <c r="A236" s="192">
        <f>'VENTAS MARZO'!A5</f>
        <v>46083</v>
      </c>
      <c r="B236" s="208">
        <f>'VENTAS MARZO'!E5</f>
        <v>0</v>
      </c>
      <c r="C236" s="208">
        <f>'VENTAS MARZO'!F5</f>
        <v>0</v>
      </c>
      <c r="D236" s="208"/>
      <c r="E236" s="209">
        <f>'GASTOS FEBRERO'!K30</f>
        <v>0</v>
      </c>
      <c r="F236" s="209">
        <f>'GASTOS MARZO'!L6</f>
        <v>0</v>
      </c>
      <c r="G236" s="215">
        <f>'GASTOS FEBRERO'!M31</f>
        <v>0</v>
      </c>
      <c r="H236" s="174">
        <f t="shared" ref="H236" si="209">B236+C236-E236-F236</f>
        <v>0</v>
      </c>
      <c r="I236" s="97"/>
      <c r="J236" s="131"/>
      <c r="K236" s="131"/>
    </row>
    <row r="237" spans="1:11" ht="21" customHeight="1" thickBot="1">
      <c r="A237" s="192">
        <f>'VENTAS MARZO'!A6</f>
        <v>46084</v>
      </c>
      <c r="B237" s="208">
        <f>'VENTAS MARZO'!E6</f>
        <v>25400</v>
      </c>
      <c r="C237" s="208">
        <f>'VENTAS MARZO'!F6</f>
        <v>6600</v>
      </c>
      <c r="D237" s="208"/>
      <c r="E237" s="209">
        <f>'GASTOS MARZO'!G5</f>
        <v>54600</v>
      </c>
      <c r="F237" s="209">
        <f>'GASTOS MARZO'!L7</f>
        <v>0</v>
      </c>
      <c r="G237" s="215">
        <f>'GASTOS FEBRERO'!M32</f>
        <v>0</v>
      </c>
      <c r="H237" s="174">
        <f t="shared" ref="H237" si="210">B237+C237-E237-F237</f>
        <v>-22600</v>
      </c>
      <c r="I237" s="97"/>
      <c r="J237" s="131"/>
      <c r="K237" s="131"/>
    </row>
    <row r="238" spans="1:11" ht="21" customHeight="1" thickBot="1">
      <c r="A238" s="14"/>
      <c r="B238" s="8"/>
      <c r="C238" s="8"/>
      <c r="D238" s="8"/>
      <c r="E238" s="173"/>
      <c r="F238" s="173"/>
      <c r="G238" s="173"/>
      <c r="H238" s="72">
        <f t="shared" si="60"/>
        <v>0</v>
      </c>
      <c r="J238" s="131"/>
      <c r="K238" s="131"/>
    </row>
    <row r="239" spans="1:11" ht="21" customHeight="1" thickBot="1">
      <c r="A239" s="14"/>
      <c r="B239" s="8"/>
      <c r="C239" s="8"/>
      <c r="D239" s="8"/>
      <c r="E239" s="73"/>
      <c r="F239" s="73"/>
      <c r="G239" s="73"/>
      <c r="H239" s="72">
        <f t="shared" si="60"/>
        <v>0</v>
      </c>
      <c r="J239" s="131"/>
      <c r="K239" s="131"/>
    </row>
    <row r="240" spans="1:11" ht="21" customHeight="1" thickBot="1">
      <c r="A240" s="14"/>
      <c r="B240" s="8"/>
      <c r="C240" s="8"/>
      <c r="D240" s="8"/>
      <c r="E240" s="73"/>
      <c r="F240" s="73"/>
      <c r="G240" s="73"/>
      <c r="H240" s="72">
        <f t="shared" si="60"/>
        <v>0</v>
      </c>
    </row>
    <row r="241" spans="1:10" ht="21" customHeight="1" thickBot="1">
      <c r="A241" s="14"/>
      <c r="B241" s="8"/>
      <c r="C241" s="8"/>
      <c r="D241" s="8"/>
      <c r="E241" s="73"/>
      <c r="F241" s="73"/>
      <c r="G241" s="73"/>
      <c r="H241" s="72">
        <f t="shared" si="60"/>
        <v>0</v>
      </c>
    </row>
    <row r="242" spans="1:10" ht="21" customHeight="1" thickBot="1">
      <c r="A242" s="14"/>
      <c r="B242" s="8"/>
      <c r="C242" s="8"/>
      <c r="D242" s="8"/>
      <c r="E242" s="73"/>
      <c r="F242" s="73"/>
      <c r="G242" s="73"/>
      <c r="H242" s="72">
        <f t="shared" si="60"/>
        <v>0</v>
      </c>
      <c r="J242" s="131"/>
    </row>
    <row r="243" spans="1:10" ht="21" customHeight="1" thickBot="1">
      <c r="A243" s="14"/>
      <c r="B243" s="8"/>
      <c r="C243" s="8"/>
      <c r="D243" s="8"/>
      <c r="E243" s="73"/>
      <c r="F243" s="73"/>
      <c r="G243" s="73"/>
      <c r="H243" s="72">
        <f t="shared" si="60"/>
        <v>0</v>
      </c>
    </row>
    <row r="244" spans="1:10" ht="21" customHeight="1" thickBot="1">
      <c r="A244" s="14"/>
      <c r="B244" s="8"/>
      <c r="C244" s="8"/>
      <c r="D244" s="8"/>
      <c r="E244" s="73"/>
      <c r="F244" s="73"/>
      <c r="G244" s="73"/>
      <c r="H244" s="72">
        <f t="shared" si="60"/>
        <v>0</v>
      </c>
    </row>
    <row r="245" spans="1:10" ht="21" customHeight="1" thickBot="1">
      <c r="A245" s="14"/>
      <c r="B245" s="8"/>
      <c r="C245" s="8"/>
      <c r="D245" s="8"/>
      <c r="E245" s="73"/>
      <c r="F245" s="73"/>
      <c r="G245" s="73"/>
      <c r="H245" s="72">
        <f t="shared" si="60"/>
        <v>0</v>
      </c>
    </row>
    <row r="246" spans="1:10" ht="21" customHeight="1" thickBot="1">
      <c r="A246" s="14"/>
      <c r="B246" s="8"/>
      <c r="C246" s="8"/>
      <c r="D246" s="8"/>
      <c r="E246" s="73"/>
      <c r="F246" s="73"/>
      <c r="G246" s="73"/>
      <c r="H246" s="72">
        <f t="shared" si="60"/>
        <v>0</v>
      </c>
    </row>
    <row r="247" spans="1:10" ht="21" customHeight="1" thickBot="1">
      <c r="A247" s="14"/>
      <c r="B247" s="8"/>
      <c r="C247" s="8"/>
      <c r="D247" s="8"/>
      <c r="E247" s="73"/>
      <c r="F247" s="73"/>
      <c r="G247" s="73"/>
      <c r="H247" s="72">
        <f t="shared" si="60"/>
        <v>0</v>
      </c>
    </row>
    <row r="248" spans="1:10" ht="21" customHeight="1" thickBot="1">
      <c r="A248" s="14"/>
      <c r="B248" s="8"/>
      <c r="C248" s="8"/>
      <c r="D248" s="8"/>
      <c r="E248" s="73"/>
      <c r="F248" s="73"/>
      <c r="G248" s="73"/>
      <c r="H248" s="72">
        <f t="shared" si="60"/>
        <v>0</v>
      </c>
    </row>
    <row r="249" spans="1:10" ht="21" customHeight="1" thickBot="1">
      <c r="A249" s="14"/>
      <c r="B249" s="8"/>
      <c r="C249" s="8"/>
      <c r="D249" s="8"/>
      <c r="E249" s="73"/>
      <c r="F249" s="73"/>
      <c r="G249" s="73"/>
      <c r="H249" s="72">
        <f t="shared" si="60"/>
        <v>0</v>
      </c>
    </row>
    <row r="250" spans="1:10" ht="21" customHeight="1" thickBot="1">
      <c r="A250" s="14"/>
      <c r="B250" s="8"/>
      <c r="C250" s="8"/>
      <c r="D250" s="8"/>
      <c r="E250" s="73"/>
      <c r="F250" s="73"/>
      <c r="G250" s="73"/>
      <c r="H250" s="72">
        <f t="shared" si="60"/>
        <v>0</v>
      </c>
    </row>
    <row r="251" spans="1:10" ht="21" customHeight="1" thickBot="1">
      <c r="A251" s="14"/>
      <c r="B251" s="8"/>
      <c r="C251" s="8"/>
      <c r="D251" s="8"/>
      <c r="E251" s="73"/>
      <c r="F251" s="73"/>
      <c r="G251" s="73"/>
      <c r="H251" s="72">
        <f t="shared" si="60"/>
        <v>0</v>
      </c>
    </row>
    <row r="252" spans="1:10" ht="21" customHeight="1" thickBot="1">
      <c r="A252" s="14"/>
      <c r="B252" s="8"/>
      <c r="C252" s="8"/>
      <c r="D252" s="8"/>
      <c r="E252" s="73"/>
      <c r="F252" s="73"/>
      <c r="G252" s="73"/>
      <c r="H252" s="72">
        <f t="shared" si="60"/>
        <v>0</v>
      </c>
    </row>
    <row r="253" spans="1:10" ht="21" customHeight="1" thickBot="1">
      <c r="A253" s="14"/>
      <c r="B253" s="8"/>
      <c r="C253" s="8"/>
      <c r="D253" s="8"/>
      <c r="E253" s="73"/>
      <c r="F253" s="73"/>
      <c r="G253" s="73"/>
      <c r="H253" s="72">
        <f t="shared" si="60"/>
        <v>0</v>
      </c>
    </row>
    <row r="254" spans="1:10" ht="21" customHeight="1" thickBot="1">
      <c r="A254" s="14"/>
      <c r="B254" s="8"/>
      <c r="C254" s="8"/>
      <c r="D254" s="8"/>
      <c r="E254" s="73"/>
      <c r="F254" s="73"/>
      <c r="G254" s="73"/>
      <c r="H254" s="72">
        <f t="shared" si="60"/>
        <v>0</v>
      </c>
    </row>
    <row r="255" spans="1:10" ht="21" customHeight="1" thickBot="1">
      <c r="A255" s="14"/>
      <c r="B255" s="8"/>
      <c r="C255" s="8"/>
      <c r="D255" s="8"/>
      <c r="E255" s="73"/>
      <c r="F255" s="73"/>
      <c r="G255" s="73"/>
      <c r="H255" s="72">
        <f t="shared" si="60"/>
        <v>0</v>
      </c>
    </row>
    <row r="256" spans="1:10" ht="21" customHeight="1">
      <c r="A256" s="14"/>
      <c r="B256" s="8"/>
      <c r="C256" s="8"/>
      <c r="D256" s="8"/>
      <c r="E256" s="8"/>
      <c r="F256" s="8"/>
      <c r="G256" s="8"/>
    </row>
    <row r="257" spans="1:7" ht="21" customHeight="1">
      <c r="A257" s="14"/>
      <c r="B257" s="9"/>
      <c r="C257" s="9"/>
      <c r="D257" s="9"/>
      <c r="E257" s="9"/>
      <c r="F257" s="9"/>
      <c r="G257" s="9"/>
    </row>
    <row r="258" spans="1:7" ht="21" customHeight="1">
      <c r="A258" s="14"/>
      <c r="B258" s="9"/>
      <c r="C258" s="9"/>
      <c r="D258" s="9"/>
      <c r="E258" s="9"/>
      <c r="F258" s="9"/>
      <c r="G258" s="9"/>
    </row>
    <row r="259" spans="1:7" ht="21" customHeight="1">
      <c r="A259" s="14"/>
      <c r="B259" s="9"/>
      <c r="C259" s="9"/>
      <c r="D259" s="9"/>
      <c r="E259" s="9"/>
      <c r="F259" s="9"/>
      <c r="G259" s="9"/>
    </row>
    <row r="260" spans="1:7" ht="21" customHeight="1">
      <c r="A260" s="14"/>
      <c r="B260" s="9"/>
      <c r="C260" s="9"/>
      <c r="D260" s="9"/>
      <c r="E260" s="9"/>
      <c r="F260" s="9"/>
      <c r="G260" s="9"/>
    </row>
    <row r="261" spans="1:7" ht="21" customHeight="1">
      <c r="A261" s="14"/>
      <c r="B261" s="9"/>
      <c r="C261" s="9"/>
      <c r="D261" s="9"/>
      <c r="E261" s="9"/>
      <c r="F261" s="9"/>
      <c r="G261" s="9"/>
    </row>
    <row r="262" spans="1:7" ht="21" customHeight="1">
      <c r="A262" s="14"/>
      <c r="B262" s="9"/>
      <c r="C262" s="9"/>
      <c r="D262" s="9"/>
      <c r="E262" s="9"/>
      <c r="F262" s="9"/>
      <c r="G262" s="9"/>
    </row>
    <row r="263" spans="1:7" ht="21" customHeight="1">
      <c r="A263" s="14"/>
      <c r="B263" s="9"/>
      <c r="C263" s="9"/>
      <c r="D263" s="9"/>
      <c r="E263" s="9"/>
      <c r="F263" s="9"/>
      <c r="G263" s="9"/>
    </row>
    <row r="264" spans="1:7" ht="21" customHeight="1">
      <c r="A264" s="14"/>
      <c r="B264" s="9"/>
      <c r="C264" s="9"/>
      <c r="D264" s="9"/>
      <c r="E264" s="9"/>
      <c r="F264" s="9"/>
      <c r="G264" s="9"/>
    </row>
    <row r="265" spans="1:7" ht="21" customHeight="1">
      <c r="A265" s="9"/>
      <c r="B265" s="9"/>
      <c r="C265" s="9"/>
      <c r="D265" s="9"/>
      <c r="E265" s="9"/>
      <c r="F265" s="9"/>
      <c r="G265" s="9"/>
    </row>
    <row r="266" spans="1:7" ht="20.25">
      <c r="A266" s="7"/>
      <c r="B266" s="7"/>
      <c r="C266" s="7"/>
      <c r="D266" s="7"/>
      <c r="E266" s="7"/>
      <c r="F266" s="7"/>
      <c r="G266" s="7"/>
    </row>
    <row r="267" spans="1:7" ht="20.25">
      <c r="A267" s="7"/>
      <c r="B267" s="7"/>
      <c r="C267" s="7"/>
      <c r="D267" s="7"/>
      <c r="E267" s="7"/>
      <c r="F267" s="7"/>
      <c r="G267" s="7"/>
    </row>
    <row r="268" spans="1:7" ht="20.25">
      <c r="A268" s="7"/>
      <c r="B268" s="7"/>
      <c r="C268" s="7"/>
      <c r="D268" s="7"/>
      <c r="E268" s="7"/>
      <c r="F268" s="7"/>
      <c r="G268" s="7"/>
    </row>
  </sheetData>
  <mergeCells count="4">
    <mergeCell ref="B5:C5"/>
    <mergeCell ref="J10:K10"/>
    <mergeCell ref="J11:K11"/>
    <mergeCell ref="E5:G5"/>
  </mergeCells>
  <pageMargins left="0.7" right="0.7" top="0.75" bottom="0.75" header="0.3" footer="0.3"/>
  <pageSetup orientation="portrait" copies="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PRECIOS</vt:lpstr>
      <vt:lpstr>VENTAS JULIO</vt:lpstr>
      <vt:lpstr>GASTOS JULIO</vt:lpstr>
      <vt:lpstr>GASTOS AGOSTO</vt:lpstr>
      <vt:lpstr>VENTAS AGOSTO</vt:lpstr>
      <vt:lpstr>GASTOS SEPTIEMBRE</vt:lpstr>
      <vt:lpstr>VENTAS SEPTIEMBRE</vt:lpstr>
      <vt:lpstr>GASTOS OCTUBRE</vt:lpstr>
      <vt:lpstr>VENTAS OCTUBRE</vt:lpstr>
      <vt:lpstr>GASTOS NOVIEMBRE</vt:lpstr>
      <vt:lpstr>VENTAS NOVIEMBRE</vt:lpstr>
      <vt:lpstr>GASTOS DICIEMBRE</vt:lpstr>
      <vt:lpstr>VENTAS DICIEMBRE</vt:lpstr>
      <vt:lpstr>GASTOS ENERO</vt:lpstr>
      <vt:lpstr>VENTAS ENERO</vt:lpstr>
      <vt:lpstr>GASTOS FEBRERO</vt:lpstr>
      <vt:lpstr>VENTAS FEBRERO</vt:lpstr>
      <vt:lpstr>GASTOS MARZO</vt:lpstr>
      <vt:lpstr>VENTAS MARZO</vt:lpstr>
      <vt:lpstr>CAJA 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 Merlini</dc:creator>
  <cp:lastModifiedBy>Cristian Merlini</cp:lastModifiedBy>
  <cp:lastPrinted>2025-07-20T14:46:40Z</cp:lastPrinted>
  <dcterms:created xsi:type="dcterms:W3CDTF">2025-06-30T23:30:39Z</dcterms:created>
  <dcterms:modified xsi:type="dcterms:W3CDTF">2026-03-03T23:56:28Z</dcterms:modified>
</cp:coreProperties>
</file>